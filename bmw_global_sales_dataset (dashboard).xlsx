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slicers/slicer4.xml" ContentType="application/vnd.ms-excel.slicer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C3\EXCELCNV\5659026f-6e91-4244-9d49-d4e8be83e11a\"/>
    </mc:Choice>
  </mc:AlternateContent>
  <xr:revisionPtr revIDLastSave="0" documentId="8_{9BA0CDFC-92F0-4B21-9B67-14EF0CC9465B}" xr6:coauthVersionLast="47" xr6:coauthVersionMax="47" xr10:uidLastSave="{00000000-0000-0000-0000-000000000000}"/>
  <bookViews>
    <workbookView xWindow="-60" yWindow="-60" windowWidth="15480" windowHeight="11640" firstSheet="1" activeTab="1" xr2:uid="{9BC6A6E9-03A8-4C5C-90C8-BD8F8E47C111}"/>
  </bookViews>
  <sheets>
    <sheet name="Bmw sales data" sheetId="1" r:id="rId1"/>
    <sheet name="Dashboard" sheetId="11" r:id="rId2"/>
    <sheet name="Sheet1" sheetId="2" r:id="rId3"/>
    <sheet name="Sheet2" sheetId="4" r:id="rId4"/>
    <sheet name="Sheet3" sheetId="5" r:id="rId5"/>
    <sheet name="Sheet4" sheetId="6" r:id="rId6"/>
    <sheet name="Sheet5" sheetId="7" r:id="rId7"/>
    <sheet name="Sheet6" sheetId="8" r:id="rId8"/>
    <sheet name="Sheet7" sheetId="9" r:id="rId9"/>
    <sheet name="Sheet9" sheetId="12" r:id="rId10"/>
  </sheets>
  <definedNames>
    <definedName name="_xlnm._FilterDatabase" localSheetId="0" hidden="1">'Bmw sales data'!$A$1:$P$1001</definedName>
    <definedName name="Slicer_Country1">#N/A</definedName>
    <definedName name="Slicer_Engine_Type">#N/A</definedName>
    <definedName name="Slicer_Model">#N/A</definedName>
    <definedName name="Slicer_Model1">#N/A</definedName>
    <definedName name="Slicer_Month">#N/A</definedName>
    <definedName name="Slicer_Segment">#N/A</definedName>
    <definedName name="Slicer_Year">#N/A</definedName>
    <definedName name="Slicer_Year1">#N/A</definedName>
  </definedNames>
  <calcPr calcId="191028"/>
  <pivotCaches>
    <pivotCache cacheId="503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1" l="1"/>
  <c r="I3" i="11"/>
  <c r="H3" i="11"/>
  <c r="G3" i="11"/>
  <c r="A1006" i="1" a="1"/>
  <c r="A1006" i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P420" i="1" s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O507" i="1"/>
  <c r="P507" i="1" s="1"/>
  <c r="O508" i="1"/>
  <c r="P508" i="1" s="1"/>
  <c r="O509" i="1"/>
  <c r="P509" i="1" s="1"/>
  <c r="O510" i="1"/>
  <c r="P510" i="1" s="1"/>
  <c r="O511" i="1"/>
  <c r="P511" i="1" s="1"/>
  <c r="O512" i="1"/>
  <c r="P512" i="1" s="1"/>
  <c r="O513" i="1"/>
  <c r="P513" i="1" s="1"/>
  <c r="O514" i="1"/>
  <c r="P514" i="1" s="1"/>
  <c r="O515" i="1"/>
  <c r="P515" i="1" s="1"/>
  <c r="O516" i="1"/>
  <c r="P516" i="1" s="1"/>
  <c r="O517" i="1"/>
  <c r="P517" i="1" s="1"/>
  <c r="O518" i="1"/>
  <c r="P518" i="1" s="1"/>
  <c r="O519" i="1"/>
  <c r="P519" i="1" s="1"/>
  <c r="O520" i="1"/>
  <c r="P520" i="1" s="1"/>
  <c r="O521" i="1"/>
  <c r="P521" i="1" s="1"/>
  <c r="O522" i="1"/>
  <c r="P522" i="1" s="1"/>
  <c r="O523" i="1"/>
  <c r="P523" i="1" s="1"/>
  <c r="O524" i="1"/>
  <c r="P524" i="1" s="1"/>
  <c r="O525" i="1"/>
  <c r="P525" i="1" s="1"/>
  <c r="O526" i="1"/>
  <c r="P526" i="1" s="1"/>
  <c r="O527" i="1"/>
  <c r="P527" i="1" s="1"/>
  <c r="O528" i="1"/>
  <c r="P528" i="1" s="1"/>
  <c r="O529" i="1"/>
  <c r="P529" i="1" s="1"/>
  <c r="O530" i="1"/>
  <c r="P530" i="1" s="1"/>
  <c r="O531" i="1"/>
  <c r="P531" i="1" s="1"/>
  <c r="O532" i="1"/>
  <c r="P532" i="1" s="1"/>
  <c r="O533" i="1"/>
  <c r="P533" i="1" s="1"/>
  <c r="O534" i="1"/>
  <c r="P534" i="1" s="1"/>
  <c r="O535" i="1"/>
  <c r="P535" i="1" s="1"/>
  <c r="O536" i="1"/>
  <c r="P536" i="1" s="1"/>
  <c r="O537" i="1"/>
  <c r="P537" i="1" s="1"/>
  <c r="O538" i="1"/>
  <c r="P538" i="1" s="1"/>
  <c r="O539" i="1"/>
  <c r="P539" i="1" s="1"/>
  <c r="O540" i="1"/>
  <c r="P540" i="1" s="1"/>
  <c r="O541" i="1"/>
  <c r="P541" i="1" s="1"/>
  <c r="O542" i="1"/>
  <c r="P542" i="1" s="1"/>
  <c r="O543" i="1"/>
  <c r="P543" i="1" s="1"/>
  <c r="O544" i="1"/>
  <c r="P544" i="1" s="1"/>
  <c r="O545" i="1"/>
  <c r="P545" i="1" s="1"/>
  <c r="O546" i="1"/>
  <c r="P546" i="1" s="1"/>
  <c r="O547" i="1"/>
  <c r="P547" i="1" s="1"/>
  <c r="O548" i="1"/>
  <c r="P548" i="1" s="1"/>
  <c r="O549" i="1"/>
  <c r="P549" i="1" s="1"/>
  <c r="O550" i="1"/>
  <c r="P550" i="1" s="1"/>
  <c r="O551" i="1"/>
  <c r="P551" i="1" s="1"/>
  <c r="O552" i="1"/>
  <c r="P552" i="1" s="1"/>
  <c r="O553" i="1"/>
  <c r="P553" i="1" s="1"/>
  <c r="O554" i="1"/>
  <c r="P554" i="1" s="1"/>
  <c r="O555" i="1"/>
  <c r="P555" i="1" s="1"/>
  <c r="O556" i="1"/>
  <c r="P556" i="1" s="1"/>
  <c r="O557" i="1"/>
  <c r="P557" i="1" s="1"/>
  <c r="O558" i="1"/>
  <c r="P558" i="1" s="1"/>
  <c r="O559" i="1"/>
  <c r="P559" i="1" s="1"/>
  <c r="O560" i="1"/>
  <c r="P560" i="1" s="1"/>
  <c r="O561" i="1"/>
  <c r="P561" i="1" s="1"/>
  <c r="O562" i="1"/>
  <c r="P562" i="1" s="1"/>
  <c r="O563" i="1"/>
  <c r="P563" i="1" s="1"/>
  <c r="O564" i="1"/>
  <c r="P564" i="1" s="1"/>
  <c r="O565" i="1"/>
  <c r="P565" i="1" s="1"/>
  <c r="O566" i="1"/>
  <c r="P566" i="1" s="1"/>
  <c r="O567" i="1"/>
  <c r="P567" i="1" s="1"/>
  <c r="O568" i="1"/>
  <c r="P568" i="1" s="1"/>
  <c r="O569" i="1"/>
  <c r="P569" i="1" s="1"/>
  <c r="O570" i="1"/>
  <c r="P570" i="1" s="1"/>
  <c r="O571" i="1"/>
  <c r="P571" i="1" s="1"/>
  <c r="O572" i="1"/>
  <c r="P572" i="1" s="1"/>
  <c r="O573" i="1"/>
  <c r="P573" i="1" s="1"/>
  <c r="O574" i="1"/>
  <c r="P574" i="1" s="1"/>
  <c r="O575" i="1"/>
  <c r="P575" i="1" s="1"/>
  <c r="O576" i="1"/>
  <c r="P576" i="1" s="1"/>
  <c r="O577" i="1"/>
  <c r="P577" i="1" s="1"/>
  <c r="O578" i="1"/>
  <c r="P578" i="1" s="1"/>
  <c r="O579" i="1"/>
  <c r="P579" i="1" s="1"/>
  <c r="O580" i="1"/>
  <c r="P580" i="1" s="1"/>
  <c r="O581" i="1"/>
  <c r="P581" i="1" s="1"/>
  <c r="O582" i="1"/>
  <c r="P582" i="1" s="1"/>
  <c r="O583" i="1"/>
  <c r="P583" i="1" s="1"/>
  <c r="O584" i="1"/>
  <c r="P584" i="1" s="1"/>
  <c r="O585" i="1"/>
  <c r="P585" i="1" s="1"/>
  <c r="O586" i="1"/>
  <c r="P586" i="1" s="1"/>
  <c r="O587" i="1"/>
  <c r="P587" i="1" s="1"/>
  <c r="O588" i="1"/>
  <c r="P588" i="1" s="1"/>
  <c r="O589" i="1"/>
  <c r="P589" i="1" s="1"/>
  <c r="O590" i="1"/>
  <c r="P590" i="1" s="1"/>
  <c r="O591" i="1"/>
  <c r="P591" i="1" s="1"/>
  <c r="O592" i="1"/>
  <c r="P592" i="1" s="1"/>
  <c r="O593" i="1"/>
  <c r="P593" i="1" s="1"/>
  <c r="O594" i="1"/>
  <c r="P594" i="1" s="1"/>
  <c r="O595" i="1"/>
  <c r="P595" i="1" s="1"/>
  <c r="O596" i="1"/>
  <c r="P596" i="1" s="1"/>
  <c r="O597" i="1"/>
  <c r="P597" i="1" s="1"/>
  <c r="O598" i="1"/>
  <c r="P598" i="1" s="1"/>
  <c r="O599" i="1"/>
  <c r="P599" i="1" s="1"/>
  <c r="O600" i="1"/>
  <c r="P600" i="1" s="1"/>
  <c r="O601" i="1"/>
  <c r="P601" i="1" s="1"/>
  <c r="O602" i="1"/>
  <c r="P602" i="1" s="1"/>
  <c r="O603" i="1"/>
  <c r="P603" i="1" s="1"/>
  <c r="O604" i="1"/>
  <c r="P604" i="1" s="1"/>
  <c r="O605" i="1"/>
  <c r="P605" i="1" s="1"/>
  <c r="O606" i="1"/>
  <c r="P606" i="1" s="1"/>
  <c r="O607" i="1"/>
  <c r="P607" i="1" s="1"/>
  <c r="O608" i="1"/>
  <c r="P608" i="1" s="1"/>
  <c r="O609" i="1"/>
  <c r="P609" i="1" s="1"/>
  <c r="O610" i="1"/>
  <c r="P610" i="1" s="1"/>
  <c r="O611" i="1"/>
  <c r="P611" i="1" s="1"/>
  <c r="O612" i="1"/>
  <c r="P612" i="1" s="1"/>
  <c r="O613" i="1"/>
  <c r="P613" i="1" s="1"/>
  <c r="O614" i="1"/>
  <c r="P614" i="1" s="1"/>
  <c r="O615" i="1"/>
  <c r="P615" i="1" s="1"/>
  <c r="O616" i="1"/>
  <c r="P616" i="1" s="1"/>
  <c r="O617" i="1"/>
  <c r="P617" i="1" s="1"/>
  <c r="O618" i="1"/>
  <c r="P618" i="1" s="1"/>
  <c r="O619" i="1"/>
  <c r="P619" i="1" s="1"/>
  <c r="O620" i="1"/>
  <c r="P620" i="1" s="1"/>
  <c r="O621" i="1"/>
  <c r="P621" i="1" s="1"/>
  <c r="O622" i="1"/>
  <c r="P622" i="1" s="1"/>
  <c r="O623" i="1"/>
  <c r="P623" i="1" s="1"/>
  <c r="O624" i="1"/>
  <c r="P624" i="1" s="1"/>
  <c r="O625" i="1"/>
  <c r="P625" i="1" s="1"/>
  <c r="O626" i="1"/>
  <c r="P626" i="1" s="1"/>
  <c r="O627" i="1"/>
  <c r="P627" i="1" s="1"/>
  <c r="O628" i="1"/>
  <c r="P628" i="1" s="1"/>
  <c r="O629" i="1"/>
  <c r="P629" i="1" s="1"/>
  <c r="O630" i="1"/>
  <c r="P630" i="1" s="1"/>
  <c r="O631" i="1"/>
  <c r="P631" i="1" s="1"/>
  <c r="O632" i="1"/>
  <c r="P632" i="1" s="1"/>
  <c r="O633" i="1"/>
  <c r="P633" i="1" s="1"/>
  <c r="O634" i="1"/>
  <c r="P634" i="1" s="1"/>
  <c r="O635" i="1"/>
  <c r="P635" i="1" s="1"/>
  <c r="O636" i="1"/>
  <c r="P636" i="1" s="1"/>
  <c r="O637" i="1"/>
  <c r="P637" i="1" s="1"/>
  <c r="O638" i="1"/>
  <c r="P638" i="1" s="1"/>
  <c r="O639" i="1"/>
  <c r="P639" i="1" s="1"/>
  <c r="O640" i="1"/>
  <c r="P640" i="1" s="1"/>
  <c r="O641" i="1"/>
  <c r="P641" i="1" s="1"/>
  <c r="O642" i="1"/>
  <c r="P642" i="1" s="1"/>
  <c r="O643" i="1"/>
  <c r="P643" i="1" s="1"/>
  <c r="O644" i="1"/>
  <c r="P644" i="1" s="1"/>
  <c r="O645" i="1"/>
  <c r="P645" i="1" s="1"/>
  <c r="O646" i="1"/>
  <c r="P646" i="1" s="1"/>
  <c r="O647" i="1"/>
  <c r="P647" i="1" s="1"/>
  <c r="O648" i="1"/>
  <c r="P648" i="1" s="1"/>
  <c r="O649" i="1"/>
  <c r="P649" i="1" s="1"/>
  <c r="O650" i="1"/>
  <c r="P650" i="1" s="1"/>
  <c r="O651" i="1"/>
  <c r="P651" i="1" s="1"/>
  <c r="O652" i="1"/>
  <c r="P652" i="1" s="1"/>
  <c r="O653" i="1"/>
  <c r="P653" i="1" s="1"/>
  <c r="O654" i="1"/>
  <c r="P654" i="1" s="1"/>
  <c r="O655" i="1"/>
  <c r="P655" i="1" s="1"/>
  <c r="O656" i="1"/>
  <c r="P656" i="1" s="1"/>
  <c r="O657" i="1"/>
  <c r="P657" i="1" s="1"/>
  <c r="O658" i="1"/>
  <c r="P658" i="1" s="1"/>
  <c r="O659" i="1"/>
  <c r="P659" i="1" s="1"/>
  <c r="O660" i="1"/>
  <c r="P660" i="1" s="1"/>
  <c r="O661" i="1"/>
  <c r="P661" i="1" s="1"/>
  <c r="O662" i="1"/>
  <c r="P662" i="1" s="1"/>
  <c r="O663" i="1"/>
  <c r="P663" i="1" s="1"/>
  <c r="O664" i="1"/>
  <c r="P664" i="1" s="1"/>
  <c r="O665" i="1"/>
  <c r="P665" i="1" s="1"/>
  <c r="O666" i="1"/>
  <c r="P666" i="1" s="1"/>
  <c r="O667" i="1"/>
  <c r="P667" i="1" s="1"/>
  <c r="O668" i="1"/>
  <c r="P668" i="1" s="1"/>
  <c r="O669" i="1"/>
  <c r="P669" i="1" s="1"/>
  <c r="O670" i="1"/>
  <c r="P670" i="1" s="1"/>
  <c r="O671" i="1"/>
  <c r="P671" i="1" s="1"/>
  <c r="O672" i="1"/>
  <c r="P672" i="1" s="1"/>
  <c r="O673" i="1"/>
  <c r="P673" i="1" s="1"/>
  <c r="O674" i="1"/>
  <c r="P674" i="1" s="1"/>
  <c r="O675" i="1"/>
  <c r="P675" i="1" s="1"/>
  <c r="O676" i="1"/>
  <c r="P676" i="1" s="1"/>
  <c r="O677" i="1"/>
  <c r="P677" i="1" s="1"/>
  <c r="O678" i="1"/>
  <c r="P678" i="1" s="1"/>
  <c r="O679" i="1"/>
  <c r="P679" i="1" s="1"/>
  <c r="O680" i="1"/>
  <c r="P680" i="1" s="1"/>
  <c r="O681" i="1"/>
  <c r="P681" i="1" s="1"/>
  <c r="O682" i="1"/>
  <c r="P682" i="1" s="1"/>
  <c r="O683" i="1"/>
  <c r="P683" i="1" s="1"/>
  <c r="O684" i="1"/>
  <c r="P684" i="1" s="1"/>
  <c r="O685" i="1"/>
  <c r="P685" i="1" s="1"/>
  <c r="O686" i="1"/>
  <c r="P686" i="1" s="1"/>
  <c r="O687" i="1"/>
  <c r="P687" i="1" s="1"/>
  <c r="O688" i="1"/>
  <c r="P688" i="1" s="1"/>
  <c r="O689" i="1"/>
  <c r="P689" i="1" s="1"/>
  <c r="O690" i="1"/>
  <c r="P690" i="1" s="1"/>
  <c r="O691" i="1"/>
  <c r="P691" i="1" s="1"/>
  <c r="O692" i="1"/>
  <c r="P692" i="1" s="1"/>
  <c r="O693" i="1"/>
  <c r="P693" i="1" s="1"/>
  <c r="O694" i="1"/>
  <c r="P694" i="1" s="1"/>
  <c r="O695" i="1"/>
  <c r="P695" i="1" s="1"/>
  <c r="O696" i="1"/>
  <c r="P696" i="1" s="1"/>
  <c r="O697" i="1"/>
  <c r="P697" i="1" s="1"/>
  <c r="O698" i="1"/>
  <c r="P698" i="1" s="1"/>
  <c r="O699" i="1"/>
  <c r="P699" i="1" s="1"/>
  <c r="O700" i="1"/>
  <c r="P700" i="1" s="1"/>
  <c r="O701" i="1"/>
  <c r="P701" i="1" s="1"/>
  <c r="O702" i="1"/>
  <c r="P702" i="1" s="1"/>
  <c r="O703" i="1"/>
  <c r="P703" i="1" s="1"/>
  <c r="O704" i="1"/>
  <c r="P704" i="1" s="1"/>
  <c r="O705" i="1"/>
  <c r="P705" i="1" s="1"/>
  <c r="O706" i="1"/>
  <c r="P706" i="1" s="1"/>
  <c r="O707" i="1"/>
  <c r="P707" i="1" s="1"/>
  <c r="O708" i="1"/>
  <c r="P708" i="1" s="1"/>
  <c r="O709" i="1"/>
  <c r="P709" i="1" s="1"/>
  <c r="O710" i="1"/>
  <c r="P710" i="1" s="1"/>
  <c r="O711" i="1"/>
  <c r="P711" i="1" s="1"/>
  <c r="O712" i="1"/>
  <c r="P712" i="1" s="1"/>
  <c r="O713" i="1"/>
  <c r="P713" i="1" s="1"/>
  <c r="O714" i="1"/>
  <c r="P714" i="1" s="1"/>
  <c r="O715" i="1"/>
  <c r="P715" i="1" s="1"/>
  <c r="O716" i="1"/>
  <c r="P716" i="1" s="1"/>
  <c r="O717" i="1"/>
  <c r="P717" i="1" s="1"/>
  <c r="O718" i="1"/>
  <c r="P718" i="1" s="1"/>
  <c r="O719" i="1"/>
  <c r="P719" i="1" s="1"/>
  <c r="O720" i="1"/>
  <c r="P720" i="1" s="1"/>
  <c r="O721" i="1"/>
  <c r="P721" i="1" s="1"/>
  <c r="O722" i="1"/>
  <c r="P722" i="1" s="1"/>
  <c r="O723" i="1"/>
  <c r="P723" i="1" s="1"/>
  <c r="O724" i="1"/>
  <c r="P724" i="1" s="1"/>
  <c r="O725" i="1"/>
  <c r="P725" i="1" s="1"/>
  <c r="O726" i="1"/>
  <c r="P726" i="1" s="1"/>
  <c r="O727" i="1"/>
  <c r="P727" i="1" s="1"/>
  <c r="O728" i="1"/>
  <c r="P728" i="1" s="1"/>
  <c r="O729" i="1"/>
  <c r="P729" i="1" s="1"/>
  <c r="O730" i="1"/>
  <c r="P730" i="1" s="1"/>
  <c r="O731" i="1"/>
  <c r="P731" i="1" s="1"/>
  <c r="O732" i="1"/>
  <c r="P732" i="1" s="1"/>
  <c r="O733" i="1"/>
  <c r="P733" i="1" s="1"/>
  <c r="O734" i="1"/>
  <c r="P734" i="1" s="1"/>
  <c r="O735" i="1"/>
  <c r="P735" i="1" s="1"/>
  <c r="O736" i="1"/>
  <c r="P736" i="1" s="1"/>
  <c r="O737" i="1"/>
  <c r="P737" i="1" s="1"/>
  <c r="O738" i="1"/>
  <c r="P738" i="1" s="1"/>
  <c r="O739" i="1"/>
  <c r="P739" i="1" s="1"/>
  <c r="O740" i="1"/>
  <c r="P740" i="1" s="1"/>
  <c r="O741" i="1"/>
  <c r="P741" i="1" s="1"/>
  <c r="O742" i="1"/>
  <c r="P742" i="1" s="1"/>
  <c r="O743" i="1"/>
  <c r="P743" i="1" s="1"/>
  <c r="O744" i="1"/>
  <c r="P744" i="1" s="1"/>
  <c r="O745" i="1"/>
  <c r="P745" i="1" s="1"/>
  <c r="O746" i="1"/>
  <c r="P746" i="1" s="1"/>
  <c r="O747" i="1"/>
  <c r="P747" i="1" s="1"/>
  <c r="O748" i="1"/>
  <c r="P748" i="1" s="1"/>
  <c r="O749" i="1"/>
  <c r="P749" i="1" s="1"/>
  <c r="O750" i="1"/>
  <c r="P750" i="1" s="1"/>
  <c r="O751" i="1"/>
  <c r="P751" i="1" s="1"/>
  <c r="O752" i="1"/>
  <c r="P752" i="1" s="1"/>
  <c r="O753" i="1"/>
  <c r="P753" i="1" s="1"/>
  <c r="O754" i="1"/>
  <c r="P754" i="1" s="1"/>
  <c r="O755" i="1"/>
  <c r="P755" i="1" s="1"/>
  <c r="O756" i="1"/>
  <c r="P756" i="1" s="1"/>
  <c r="O757" i="1"/>
  <c r="P757" i="1" s="1"/>
  <c r="O758" i="1"/>
  <c r="P758" i="1" s="1"/>
  <c r="O759" i="1"/>
  <c r="P759" i="1" s="1"/>
  <c r="O760" i="1"/>
  <c r="P760" i="1" s="1"/>
  <c r="O761" i="1"/>
  <c r="P761" i="1" s="1"/>
  <c r="O762" i="1"/>
  <c r="P762" i="1" s="1"/>
  <c r="O763" i="1"/>
  <c r="P763" i="1" s="1"/>
  <c r="O764" i="1"/>
  <c r="P764" i="1" s="1"/>
  <c r="O765" i="1"/>
  <c r="P765" i="1" s="1"/>
  <c r="O766" i="1"/>
  <c r="P766" i="1" s="1"/>
  <c r="O767" i="1"/>
  <c r="P767" i="1" s="1"/>
  <c r="O768" i="1"/>
  <c r="P768" i="1" s="1"/>
  <c r="O769" i="1"/>
  <c r="P769" i="1" s="1"/>
  <c r="O770" i="1"/>
  <c r="P770" i="1" s="1"/>
  <c r="O771" i="1"/>
  <c r="P771" i="1" s="1"/>
  <c r="O772" i="1"/>
  <c r="P772" i="1" s="1"/>
  <c r="O773" i="1"/>
  <c r="P773" i="1" s="1"/>
  <c r="O774" i="1"/>
  <c r="P774" i="1" s="1"/>
  <c r="O775" i="1"/>
  <c r="P775" i="1" s="1"/>
  <c r="O776" i="1"/>
  <c r="P776" i="1" s="1"/>
  <c r="O777" i="1"/>
  <c r="P777" i="1" s="1"/>
  <c r="O778" i="1"/>
  <c r="P778" i="1" s="1"/>
  <c r="O779" i="1"/>
  <c r="P779" i="1" s="1"/>
  <c r="O780" i="1"/>
  <c r="P780" i="1" s="1"/>
  <c r="O781" i="1"/>
  <c r="P781" i="1" s="1"/>
  <c r="O782" i="1"/>
  <c r="P782" i="1" s="1"/>
  <c r="O783" i="1"/>
  <c r="P783" i="1" s="1"/>
  <c r="O784" i="1"/>
  <c r="P784" i="1" s="1"/>
  <c r="O785" i="1"/>
  <c r="P785" i="1" s="1"/>
  <c r="O786" i="1"/>
  <c r="P786" i="1" s="1"/>
  <c r="O787" i="1"/>
  <c r="P787" i="1" s="1"/>
  <c r="O788" i="1"/>
  <c r="P788" i="1" s="1"/>
  <c r="O789" i="1"/>
  <c r="P789" i="1" s="1"/>
  <c r="O790" i="1"/>
  <c r="P790" i="1" s="1"/>
  <c r="O791" i="1"/>
  <c r="P791" i="1" s="1"/>
  <c r="O792" i="1"/>
  <c r="P792" i="1" s="1"/>
  <c r="O793" i="1"/>
  <c r="P793" i="1" s="1"/>
  <c r="O794" i="1"/>
  <c r="P794" i="1" s="1"/>
  <c r="O795" i="1"/>
  <c r="P795" i="1" s="1"/>
  <c r="O796" i="1"/>
  <c r="P796" i="1" s="1"/>
  <c r="O797" i="1"/>
  <c r="P797" i="1" s="1"/>
  <c r="O798" i="1"/>
  <c r="P798" i="1" s="1"/>
  <c r="O799" i="1"/>
  <c r="P799" i="1" s="1"/>
  <c r="O800" i="1"/>
  <c r="P800" i="1" s="1"/>
  <c r="O801" i="1"/>
  <c r="P801" i="1" s="1"/>
  <c r="O802" i="1"/>
  <c r="P802" i="1" s="1"/>
  <c r="O803" i="1"/>
  <c r="P803" i="1" s="1"/>
  <c r="O804" i="1"/>
  <c r="P804" i="1" s="1"/>
  <c r="O805" i="1"/>
  <c r="P805" i="1" s="1"/>
  <c r="O806" i="1"/>
  <c r="P806" i="1" s="1"/>
  <c r="O807" i="1"/>
  <c r="P807" i="1" s="1"/>
  <c r="O808" i="1"/>
  <c r="P808" i="1" s="1"/>
  <c r="O809" i="1"/>
  <c r="P809" i="1" s="1"/>
  <c r="O810" i="1"/>
  <c r="P810" i="1" s="1"/>
  <c r="O811" i="1"/>
  <c r="P811" i="1" s="1"/>
  <c r="O812" i="1"/>
  <c r="P812" i="1" s="1"/>
  <c r="O813" i="1"/>
  <c r="P813" i="1" s="1"/>
  <c r="O814" i="1"/>
  <c r="P814" i="1" s="1"/>
  <c r="O815" i="1"/>
  <c r="P815" i="1" s="1"/>
  <c r="O816" i="1"/>
  <c r="P816" i="1" s="1"/>
  <c r="O817" i="1"/>
  <c r="P817" i="1" s="1"/>
  <c r="O818" i="1"/>
  <c r="P818" i="1" s="1"/>
  <c r="O819" i="1"/>
  <c r="P819" i="1" s="1"/>
  <c r="O820" i="1"/>
  <c r="P820" i="1" s="1"/>
  <c r="O821" i="1"/>
  <c r="P821" i="1" s="1"/>
  <c r="O822" i="1"/>
  <c r="P822" i="1" s="1"/>
  <c r="O823" i="1"/>
  <c r="P823" i="1" s="1"/>
  <c r="O824" i="1"/>
  <c r="P824" i="1" s="1"/>
  <c r="O825" i="1"/>
  <c r="P825" i="1" s="1"/>
  <c r="O826" i="1"/>
  <c r="P826" i="1" s="1"/>
  <c r="O827" i="1"/>
  <c r="P827" i="1" s="1"/>
  <c r="O828" i="1"/>
  <c r="P828" i="1" s="1"/>
  <c r="O829" i="1"/>
  <c r="P829" i="1" s="1"/>
  <c r="O830" i="1"/>
  <c r="P830" i="1" s="1"/>
  <c r="O831" i="1"/>
  <c r="P831" i="1" s="1"/>
  <c r="O832" i="1"/>
  <c r="P832" i="1" s="1"/>
  <c r="O833" i="1"/>
  <c r="P833" i="1" s="1"/>
  <c r="O834" i="1"/>
  <c r="P834" i="1" s="1"/>
  <c r="O835" i="1"/>
  <c r="P835" i="1" s="1"/>
  <c r="O836" i="1"/>
  <c r="P836" i="1" s="1"/>
  <c r="O837" i="1"/>
  <c r="P837" i="1" s="1"/>
  <c r="O838" i="1"/>
  <c r="P838" i="1" s="1"/>
  <c r="O839" i="1"/>
  <c r="P839" i="1" s="1"/>
  <c r="O840" i="1"/>
  <c r="P840" i="1" s="1"/>
  <c r="O841" i="1"/>
  <c r="P841" i="1" s="1"/>
  <c r="O842" i="1"/>
  <c r="P842" i="1" s="1"/>
  <c r="O843" i="1"/>
  <c r="P843" i="1" s="1"/>
  <c r="O844" i="1"/>
  <c r="P844" i="1" s="1"/>
  <c r="O845" i="1"/>
  <c r="P845" i="1" s="1"/>
  <c r="O846" i="1"/>
  <c r="P846" i="1" s="1"/>
  <c r="O847" i="1"/>
  <c r="P847" i="1" s="1"/>
  <c r="O848" i="1"/>
  <c r="P848" i="1" s="1"/>
  <c r="O849" i="1"/>
  <c r="P849" i="1" s="1"/>
  <c r="O850" i="1"/>
  <c r="P850" i="1" s="1"/>
  <c r="O851" i="1"/>
  <c r="P851" i="1" s="1"/>
  <c r="O852" i="1"/>
  <c r="P852" i="1" s="1"/>
  <c r="O853" i="1"/>
  <c r="P853" i="1" s="1"/>
  <c r="O854" i="1"/>
  <c r="P854" i="1" s="1"/>
  <c r="O855" i="1"/>
  <c r="P855" i="1" s="1"/>
  <c r="O856" i="1"/>
  <c r="P856" i="1" s="1"/>
  <c r="O857" i="1"/>
  <c r="P857" i="1" s="1"/>
  <c r="O858" i="1"/>
  <c r="P858" i="1" s="1"/>
  <c r="O859" i="1"/>
  <c r="P859" i="1" s="1"/>
  <c r="O860" i="1"/>
  <c r="P860" i="1" s="1"/>
  <c r="O861" i="1"/>
  <c r="P861" i="1" s="1"/>
  <c r="O862" i="1"/>
  <c r="P862" i="1" s="1"/>
  <c r="O863" i="1"/>
  <c r="P863" i="1" s="1"/>
  <c r="O864" i="1"/>
  <c r="P864" i="1" s="1"/>
  <c r="O865" i="1"/>
  <c r="P865" i="1" s="1"/>
  <c r="O866" i="1"/>
  <c r="P866" i="1" s="1"/>
  <c r="O867" i="1"/>
  <c r="P867" i="1" s="1"/>
  <c r="O868" i="1"/>
  <c r="P868" i="1" s="1"/>
  <c r="O869" i="1"/>
  <c r="P869" i="1" s="1"/>
  <c r="O870" i="1"/>
  <c r="P870" i="1" s="1"/>
  <c r="O871" i="1"/>
  <c r="P871" i="1" s="1"/>
  <c r="O872" i="1"/>
  <c r="P872" i="1" s="1"/>
  <c r="O873" i="1"/>
  <c r="P873" i="1" s="1"/>
  <c r="O874" i="1"/>
  <c r="P874" i="1" s="1"/>
  <c r="O875" i="1"/>
  <c r="P875" i="1" s="1"/>
  <c r="O876" i="1"/>
  <c r="P876" i="1" s="1"/>
  <c r="O877" i="1"/>
  <c r="P877" i="1" s="1"/>
  <c r="O878" i="1"/>
  <c r="P878" i="1" s="1"/>
  <c r="O879" i="1"/>
  <c r="P879" i="1" s="1"/>
  <c r="O880" i="1"/>
  <c r="P880" i="1" s="1"/>
  <c r="O881" i="1"/>
  <c r="P881" i="1" s="1"/>
  <c r="O882" i="1"/>
  <c r="P882" i="1" s="1"/>
  <c r="O883" i="1"/>
  <c r="P883" i="1" s="1"/>
  <c r="O884" i="1"/>
  <c r="P884" i="1" s="1"/>
  <c r="O885" i="1"/>
  <c r="P885" i="1" s="1"/>
  <c r="O886" i="1"/>
  <c r="P886" i="1" s="1"/>
  <c r="O887" i="1"/>
  <c r="P887" i="1" s="1"/>
  <c r="O888" i="1"/>
  <c r="P888" i="1" s="1"/>
  <c r="O889" i="1"/>
  <c r="P889" i="1" s="1"/>
  <c r="O890" i="1"/>
  <c r="P890" i="1" s="1"/>
  <c r="O891" i="1"/>
  <c r="P891" i="1" s="1"/>
  <c r="O892" i="1"/>
  <c r="P892" i="1" s="1"/>
  <c r="O893" i="1"/>
  <c r="P893" i="1" s="1"/>
  <c r="O894" i="1"/>
  <c r="P894" i="1" s="1"/>
  <c r="O895" i="1"/>
  <c r="P895" i="1" s="1"/>
  <c r="O896" i="1"/>
  <c r="P896" i="1" s="1"/>
  <c r="O897" i="1"/>
  <c r="P897" i="1" s="1"/>
  <c r="O898" i="1"/>
  <c r="P898" i="1" s="1"/>
  <c r="O899" i="1"/>
  <c r="P899" i="1" s="1"/>
  <c r="O900" i="1"/>
  <c r="P900" i="1" s="1"/>
  <c r="O901" i="1"/>
  <c r="P901" i="1" s="1"/>
  <c r="O902" i="1"/>
  <c r="P902" i="1" s="1"/>
  <c r="O903" i="1"/>
  <c r="P903" i="1" s="1"/>
  <c r="O904" i="1"/>
  <c r="P904" i="1" s="1"/>
  <c r="O905" i="1"/>
  <c r="P905" i="1" s="1"/>
  <c r="O906" i="1"/>
  <c r="P906" i="1" s="1"/>
  <c r="O907" i="1"/>
  <c r="P907" i="1" s="1"/>
  <c r="O908" i="1"/>
  <c r="P908" i="1" s="1"/>
  <c r="O909" i="1"/>
  <c r="P909" i="1" s="1"/>
  <c r="O910" i="1"/>
  <c r="P910" i="1" s="1"/>
  <c r="O911" i="1"/>
  <c r="P911" i="1" s="1"/>
  <c r="O912" i="1"/>
  <c r="P912" i="1" s="1"/>
  <c r="O913" i="1"/>
  <c r="P913" i="1" s="1"/>
  <c r="O914" i="1"/>
  <c r="P914" i="1" s="1"/>
  <c r="O915" i="1"/>
  <c r="P915" i="1" s="1"/>
  <c r="O916" i="1"/>
  <c r="P916" i="1" s="1"/>
  <c r="O917" i="1"/>
  <c r="P917" i="1" s="1"/>
  <c r="O918" i="1"/>
  <c r="P918" i="1" s="1"/>
  <c r="O919" i="1"/>
  <c r="P919" i="1" s="1"/>
  <c r="O920" i="1"/>
  <c r="P920" i="1" s="1"/>
  <c r="O921" i="1"/>
  <c r="P921" i="1" s="1"/>
  <c r="O922" i="1"/>
  <c r="P922" i="1" s="1"/>
  <c r="O923" i="1"/>
  <c r="P923" i="1" s="1"/>
  <c r="O924" i="1"/>
  <c r="P924" i="1" s="1"/>
  <c r="O925" i="1"/>
  <c r="P925" i="1" s="1"/>
  <c r="O926" i="1"/>
  <c r="P926" i="1" s="1"/>
  <c r="O927" i="1"/>
  <c r="P927" i="1" s="1"/>
  <c r="O928" i="1"/>
  <c r="P928" i="1" s="1"/>
  <c r="O929" i="1"/>
  <c r="P929" i="1" s="1"/>
  <c r="O930" i="1"/>
  <c r="P930" i="1" s="1"/>
  <c r="O931" i="1"/>
  <c r="P931" i="1" s="1"/>
  <c r="O932" i="1"/>
  <c r="P932" i="1" s="1"/>
  <c r="O933" i="1"/>
  <c r="P933" i="1" s="1"/>
  <c r="O934" i="1"/>
  <c r="P934" i="1" s="1"/>
  <c r="O935" i="1"/>
  <c r="P935" i="1" s="1"/>
  <c r="O936" i="1"/>
  <c r="P936" i="1" s="1"/>
  <c r="O937" i="1"/>
  <c r="P937" i="1" s="1"/>
  <c r="O938" i="1"/>
  <c r="P938" i="1" s="1"/>
  <c r="O939" i="1"/>
  <c r="P939" i="1" s="1"/>
  <c r="O940" i="1"/>
  <c r="P940" i="1" s="1"/>
  <c r="O941" i="1"/>
  <c r="P941" i="1" s="1"/>
  <c r="O942" i="1"/>
  <c r="P942" i="1" s="1"/>
  <c r="O943" i="1"/>
  <c r="P943" i="1" s="1"/>
  <c r="O944" i="1"/>
  <c r="P944" i="1" s="1"/>
  <c r="O945" i="1"/>
  <c r="P945" i="1" s="1"/>
  <c r="O946" i="1"/>
  <c r="P946" i="1" s="1"/>
  <c r="O947" i="1"/>
  <c r="P947" i="1" s="1"/>
  <c r="O948" i="1"/>
  <c r="P948" i="1" s="1"/>
  <c r="O949" i="1"/>
  <c r="P949" i="1" s="1"/>
  <c r="O950" i="1"/>
  <c r="P950" i="1" s="1"/>
  <c r="O951" i="1"/>
  <c r="P951" i="1" s="1"/>
  <c r="O952" i="1"/>
  <c r="P952" i="1" s="1"/>
  <c r="O953" i="1"/>
  <c r="P953" i="1" s="1"/>
  <c r="O954" i="1"/>
  <c r="P954" i="1" s="1"/>
  <c r="O955" i="1"/>
  <c r="P955" i="1" s="1"/>
  <c r="O956" i="1"/>
  <c r="P956" i="1" s="1"/>
  <c r="O957" i="1"/>
  <c r="P957" i="1" s="1"/>
  <c r="O958" i="1"/>
  <c r="P958" i="1" s="1"/>
  <c r="O959" i="1"/>
  <c r="P959" i="1" s="1"/>
  <c r="O960" i="1"/>
  <c r="P960" i="1" s="1"/>
  <c r="O961" i="1"/>
  <c r="P961" i="1" s="1"/>
  <c r="O962" i="1"/>
  <c r="P962" i="1" s="1"/>
  <c r="O963" i="1"/>
  <c r="P963" i="1" s="1"/>
  <c r="O964" i="1"/>
  <c r="P964" i="1" s="1"/>
  <c r="O965" i="1"/>
  <c r="P965" i="1" s="1"/>
  <c r="O966" i="1"/>
  <c r="P966" i="1" s="1"/>
  <c r="O967" i="1"/>
  <c r="P967" i="1" s="1"/>
  <c r="O968" i="1"/>
  <c r="P968" i="1" s="1"/>
  <c r="O969" i="1"/>
  <c r="P969" i="1" s="1"/>
  <c r="O970" i="1"/>
  <c r="P970" i="1" s="1"/>
  <c r="O971" i="1"/>
  <c r="P971" i="1" s="1"/>
  <c r="O972" i="1"/>
  <c r="P972" i="1" s="1"/>
  <c r="O973" i="1"/>
  <c r="P973" i="1" s="1"/>
  <c r="O974" i="1"/>
  <c r="P974" i="1" s="1"/>
  <c r="O975" i="1"/>
  <c r="P975" i="1" s="1"/>
  <c r="O976" i="1"/>
  <c r="P976" i="1" s="1"/>
  <c r="O977" i="1"/>
  <c r="P977" i="1" s="1"/>
  <c r="O978" i="1"/>
  <c r="P978" i="1" s="1"/>
  <c r="O979" i="1"/>
  <c r="P979" i="1" s="1"/>
  <c r="O980" i="1"/>
  <c r="P980" i="1" s="1"/>
  <c r="O981" i="1"/>
  <c r="P981" i="1" s="1"/>
  <c r="O982" i="1"/>
  <c r="P982" i="1" s="1"/>
  <c r="O983" i="1"/>
  <c r="P983" i="1" s="1"/>
  <c r="O984" i="1"/>
  <c r="P984" i="1" s="1"/>
  <c r="O985" i="1"/>
  <c r="P985" i="1" s="1"/>
  <c r="O986" i="1"/>
  <c r="P986" i="1" s="1"/>
  <c r="O987" i="1"/>
  <c r="P987" i="1" s="1"/>
  <c r="O988" i="1"/>
  <c r="P988" i="1" s="1"/>
  <c r="O989" i="1"/>
  <c r="P989" i="1" s="1"/>
  <c r="O990" i="1"/>
  <c r="P990" i="1" s="1"/>
  <c r="O991" i="1"/>
  <c r="P991" i="1" s="1"/>
  <c r="O992" i="1"/>
  <c r="P992" i="1" s="1"/>
  <c r="O993" i="1"/>
  <c r="P993" i="1" s="1"/>
  <c r="O994" i="1"/>
  <c r="P994" i="1" s="1"/>
  <c r="O995" i="1"/>
  <c r="P995" i="1" s="1"/>
  <c r="O996" i="1"/>
  <c r="P996" i="1" s="1"/>
  <c r="O997" i="1"/>
  <c r="P997" i="1" s="1"/>
  <c r="O998" i="1"/>
  <c r="P998" i="1" s="1"/>
  <c r="O999" i="1"/>
  <c r="P999" i="1" s="1"/>
  <c r="O1000" i="1"/>
  <c r="P1000" i="1" s="1"/>
  <c r="O1001" i="1"/>
  <c r="P1001" i="1" s="1"/>
  <c r="O2" i="1"/>
  <c r="P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<sst xmlns="http://schemas.openxmlformats.org/spreadsheetml/2006/main" count="5404" uniqueCount="93">
  <si>
    <t>Year</t>
  </si>
  <si>
    <t>Month</t>
  </si>
  <si>
    <t>Country</t>
  </si>
  <si>
    <t>Model</t>
  </si>
  <si>
    <t>Segment</t>
  </si>
  <si>
    <t>Engine_Type</t>
  </si>
  <si>
    <t>Price_Usd</t>
  </si>
  <si>
    <t>Marketing_Spend_Usd</t>
  </si>
  <si>
    <t>Dealership_Count</t>
  </si>
  <si>
    <t>Fuel_Price_Usd</t>
  </si>
  <si>
    <t>Gdp_Growth_Percent</t>
  </si>
  <si>
    <t>Interest_Rate_Percent</t>
  </si>
  <si>
    <t>Competition_Index</t>
  </si>
  <si>
    <t>Units_Sold</t>
  </si>
  <si>
    <t>Gross Revenue</t>
  </si>
  <si>
    <t>Net Revenue</t>
  </si>
  <si>
    <t>Jan</t>
  </si>
  <si>
    <t>Australia</t>
  </si>
  <si>
    <t>X1</t>
  </si>
  <si>
    <t>SUV</t>
  </si>
  <si>
    <t>Petrol</t>
  </si>
  <si>
    <t>Aug</t>
  </si>
  <si>
    <t>I4</t>
  </si>
  <si>
    <t>Sedan</t>
  </si>
  <si>
    <t>Electric</t>
  </si>
  <si>
    <t>Dec</t>
  </si>
  <si>
    <t>USA</t>
  </si>
  <si>
    <t>5 SERIES</t>
  </si>
  <si>
    <t>Hybrid</t>
  </si>
  <si>
    <t>Nov</t>
  </si>
  <si>
    <t>I7</t>
  </si>
  <si>
    <t>Brazil</t>
  </si>
  <si>
    <t>X5</t>
  </si>
  <si>
    <t>Diesel</t>
  </si>
  <si>
    <t>China</t>
  </si>
  <si>
    <t>Apr</t>
  </si>
  <si>
    <t>X7</t>
  </si>
  <si>
    <t>May</t>
  </si>
  <si>
    <t>India</t>
  </si>
  <si>
    <t>3 SERIES</t>
  </si>
  <si>
    <t>UK</t>
  </si>
  <si>
    <t>7 SERIES</t>
  </si>
  <si>
    <t>X3</t>
  </si>
  <si>
    <t>Oct</t>
  </si>
  <si>
    <t>Canada</t>
  </si>
  <si>
    <t>Germany</t>
  </si>
  <si>
    <t>France</t>
  </si>
  <si>
    <t>Sep</t>
  </si>
  <si>
    <t>Jun</t>
  </si>
  <si>
    <t>Mar</t>
  </si>
  <si>
    <t>Jul</t>
  </si>
  <si>
    <t>Japan</t>
  </si>
  <si>
    <t>IX</t>
  </si>
  <si>
    <t>Feb</t>
  </si>
  <si>
    <t>State</t>
  </si>
  <si>
    <t>Revenue</t>
  </si>
  <si>
    <t>Expense</t>
  </si>
  <si>
    <t>Seattle</t>
  </si>
  <si>
    <t>Berlin</t>
  </si>
  <si>
    <t>London</t>
  </si>
  <si>
    <t>Paris</t>
  </si>
  <si>
    <t>Tokyo</t>
  </si>
  <si>
    <t>BMW Sales Report dashboard (2015 - 2024)</t>
  </si>
  <si>
    <t>Total Gross Profit</t>
  </si>
  <si>
    <t>Total Marketing Spend</t>
  </si>
  <si>
    <t>Total Models</t>
  </si>
  <si>
    <t>Total Countries</t>
  </si>
  <si>
    <t>Total unit sold</t>
  </si>
  <si>
    <t>Total count of Sale per MOdel</t>
  </si>
  <si>
    <t>Sum of Units_Sold</t>
  </si>
  <si>
    <t>Grand Total</t>
  </si>
  <si>
    <t>Sum of Net Revenue</t>
  </si>
  <si>
    <t xml:space="preserve"> </t>
  </si>
  <si>
    <t>Sum of Marketing_Spend_Usd</t>
  </si>
  <si>
    <t>3 SERIES Total</t>
  </si>
  <si>
    <t>5 SERIES Total</t>
  </si>
  <si>
    <t>7 SERIES Total</t>
  </si>
  <si>
    <t>I4 Total</t>
  </si>
  <si>
    <t>I7 Total</t>
  </si>
  <si>
    <t>IX Total</t>
  </si>
  <si>
    <t>X1 Total</t>
  </si>
  <si>
    <t>X3 Total</t>
  </si>
  <si>
    <t>X5 Total</t>
  </si>
  <si>
    <t>X7 Total</t>
  </si>
  <si>
    <t>Values</t>
  </si>
  <si>
    <t>Total Sum of Units_Sold</t>
  </si>
  <si>
    <t>Total Sum of Marketing_Spend_Usd</t>
  </si>
  <si>
    <t>Total Sum of Gross Revenue</t>
  </si>
  <si>
    <t>Sum of Gross Revenue</t>
  </si>
  <si>
    <t>SUM of Units_Sold</t>
  </si>
  <si>
    <t>SUM of Marketing_Spend_Usd</t>
  </si>
  <si>
    <t>SUM of Net Revenue</t>
  </si>
  <si>
    <t>Sum of Dealership_Count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</si>
</sst>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_-[$$-409]* #,##0.00_ ;_-[$$-409]* \-#,##0.00\ ;_-[$$-409]* &quot;-&quot;??_ ;_-@_ "/>
    <numFmt numFmtId="166" formatCode="_([$$-409]* #,##0.00_);_([$$-409]* \(#,##0.00\);_([$$-409]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charset val="1"/>
    </font>
    <font>
      <i/>
      <sz val="11"/>
      <color theme="1"/>
      <name val="Arial"/>
      <charset val="1"/>
    </font>
    <font>
      <sz val="11"/>
      <color theme="1"/>
      <name val="Arial"/>
      <charset val="1"/>
    </font>
    <font>
      <sz val="11"/>
      <color theme="1"/>
      <name val="Calibri"/>
      <charset val="1"/>
    </font>
    <font>
      <sz val="11"/>
      <color rgb="FFFFFFFF"/>
      <name val="Arial"/>
      <charset val="1"/>
    </font>
    <font>
      <b/>
      <sz val="11"/>
      <color theme="1"/>
      <name val="Arial"/>
      <charset val="1"/>
    </font>
    <font>
      <b/>
      <sz val="14"/>
      <color theme="1"/>
      <name val="Calibri"/>
      <family val="2"/>
      <scheme val="minor"/>
    </font>
    <font>
      <b/>
      <sz val="25"/>
      <color rgb="FF000000"/>
      <name val="Calibri"/>
      <scheme val="minor"/>
    </font>
    <font>
      <b/>
      <sz val="25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8E2E7"/>
        <bgColor indexed="64"/>
      </patternFill>
    </fill>
    <fill>
      <patternFill patternType="solid">
        <fgColor rgb="FF638DA2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FFFFF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ck">
        <color rgb="FF638DA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638DA2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638DA2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double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double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double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ck">
        <color rgb="FF638DA2"/>
      </bottom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7">
    <xf numFmtId="0" fontId="0" fillId="0" borderId="0" xfId="0"/>
    <xf numFmtId="0" fontId="18" fillId="0" borderId="0" xfId="0" applyFont="1"/>
    <xf numFmtId="165" fontId="18" fillId="0" borderId="0" xfId="0" applyNumberFormat="1" applyFont="1"/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0" fontId="19" fillId="33" borderId="10" xfId="0" applyFont="1" applyFill="1" applyBorder="1" applyAlignment="1">
      <alignment readingOrder="1"/>
    </xf>
    <xf numFmtId="0" fontId="20" fillId="33" borderId="11" xfId="0" applyFont="1" applyFill="1" applyBorder="1" applyAlignment="1">
      <alignment readingOrder="1"/>
    </xf>
    <xf numFmtId="0" fontId="21" fillId="33" borderId="11" xfId="0" applyFont="1" applyFill="1" applyBorder="1" applyAlignment="1">
      <alignment readingOrder="1"/>
    </xf>
    <xf numFmtId="0" fontId="21" fillId="33" borderId="12" xfId="0" applyFont="1" applyFill="1" applyBorder="1" applyAlignment="1">
      <alignment readingOrder="1"/>
    </xf>
    <xf numFmtId="0" fontId="20" fillId="33" borderId="13" xfId="0" applyFont="1" applyFill="1" applyBorder="1" applyAlignment="1">
      <alignment readingOrder="1"/>
    </xf>
    <xf numFmtId="0" fontId="22" fillId="34" borderId="14" xfId="0" applyFont="1" applyFill="1" applyBorder="1" applyAlignment="1">
      <alignment readingOrder="1"/>
    </xf>
    <xf numFmtId="0" fontId="23" fillId="34" borderId="14" xfId="0" applyFont="1" applyFill="1" applyBorder="1" applyAlignment="1">
      <alignment readingOrder="1"/>
    </xf>
    <xf numFmtId="0" fontId="23" fillId="34" borderId="15" xfId="0" applyFont="1" applyFill="1" applyBorder="1" applyAlignment="1">
      <alignment readingOrder="1"/>
    </xf>
    <xf numFmtId="0" fontId="21" fillId="35" borderId="16" xfId="0" applyFont="1" applyFill="1" applyBorder="1" applyAlignment="1">
      <alignment readingOrder="1"/>
    </xf>
    <xf numFmtId="0" fontId="22" fillId="36" borderId="17" xfId="0" applyFont="1" applyFill="1" applyBorder="1" applyAlignment="1">
      <alignment readingOrder="1"/>
    </xf>
    <xf numFmtId="0" fontId="21" fillId="36" borderId="17" xfId="0" applyFont="1" applyFill="1" applyBorder="1" applyAlignment="1">
      <alignment readingOrder="1"/>
    </xf>
    <xf numFmtId="0" fontId="21" fillId="36" borderId="18" xfId="0" applyFont="1" applyFill="1" applyBorder="1" applyAlignment="1">
      <alignment readingOrder="1"/>
    </xf>
    <xf numFmtId="0" fontId="21" fillId="35" borderId="19" xfId="0" applyFont="1" applyFill="1" applyBorder="1" applyAlignment="1">
      <alignment readingOrder="1"/>
    </xf>
    <xf numFmtId="0" fontId="22" fillId="36" borderId="20" xfId="0" applyFont="1" applyFill="1" applyBorder="1" applyAlignment="1">
      <alignment readingOrder="1"/>
    </xf>
    <xf numFmtId="0" fontId="21" fillId="36" borderId="20" xfId="0" applyFont="1" applyFill="1" applyBorder="1" applyAlignment="1">
      <alignment readingOrder="1"/>
    </xf>
    <xf numFmtId="0" fontId="21" fillId="36" borderId="21" xfId="0" applyFont="1" applyFill="1" applyBorder="1" applyAlignment="1">
      <alignment readingOrder="1"/>
    </xf>
    <xf numFmtId="0" fontId="24" fillId="33" borderId="22" xfId="0" applyFont="1" applyFill="1" applyBorder="1" applyAlignment="1">
      <alignment readingOrder="1"/>
    </xf>
    <xf numFmtId="0" fontId="24" fillId="33" borderId="23" xfId="0" applyFont="1" applyFill="1" applyBorder="1" applyAlignment="1">
      <alignment readingOrder="1"/>
    </xf>
    <xf numFmtId="0" fontId="24" fillId="33" borderId="24" xfId="0" applyFont="1" applyFill="1" applyBorder="1" applyAlignment="1">
      <alignment readingOrder="1"/>
    </xf>
    <xf numFmtId="0" fontId="21" fillId="0" borderId="10" xfId="0" applyFont="1" applyBorder="1" applyAlignment="1">
      <alignment readingOrder="1"/>
    </xf>
    <xf numFmtId="0" fontId="21" fillId="0" borderId="11" xfId="0" applyFont="1" applyBorder="1" applyAlignment="1">
      <alignment readingOrder="1"/>
    </xf>
    <xf numFmtId="0" fontId="21" fillId="0" borderId="12" xfId="0" applyFont="1" applyBorder="1" applyAlignment="1">
      <alignment readingOrder="1"/>
    </xf>
    <xf numFmtId="0" fontId="21" fillId="33" borderId="25" xfId="0" applyFont="1" applyFill="1" applyBorder="1" applyAlignment="1">
      <alignment readingOrder="1"/>
    </xf>
    <xf numFmtId="0" fontId="20" fillId="33" borderId="17" xfId="0" applyFont="1" applyFill="1" applyBorder="1" applyAlignment="1">
      <alignment readingOrder="1"/>
    </xf>
    <xf numFmtId="0" fontId="21" fillId="33" borderId="17" xfId="0" applyFont="1" applyFill="1" applyBorder="1" applyAlignment="1">
      <alignment readingOrder="1"/>
    </xf>
    <xf numFmtId="0" fontId="21" fillId="33" borderId="18" xfId="0" applyFont="1" applyFill="1" applyBorder="1" applyAlignment="1">
      <alignment readingOrder="1"/>
    </xf>
    <xf numFmtId="0" fontId="22" fillId="34" borderId="26" xfId="0" applyFont="1" applyFill="1" applyBorder="1" applyAlignment="1">
      <alignment readingOrder="1"/>
    </xf>
    <xf numFmtId="0" fontId="21" fillId="34" borderId="26" xfId="0" applyFont="1" applyFill="1" applyBorder="1" applyAlignment="1">
      <alignment readingOrder="1"/>
    </xf>
    <xf numFmtId="0" fontId="23" fillId="34" borderId="26" xfId="0" applyFont="1" applyFill="1" applyBorder="1" applyAlignment="1">
      <alignment readingOrder="1"/>
    </xf>
    <xf numFmtId="0" fontId="21" fillId="34" borderId="27" xfId="0" applyFont="1" applyFill="1" applyBorder="1" applyAlignment="1">
      <alignment readingOrder="1"/>
    </xf>
    <xf numFmtId="164" fontId="21" fillId="36" borderId="17" xfId="0" applyNumberFormat="1" applyFont="1" applyFill="1" applyBorder="1" applyAlignment="1">
      <alignment readingOrder="1"/>
    </xf>
    <xf numFmtId="164" fontId="21" fillId="36" borderId="18" xfId="0" applyNumberFormat="1" applyFont="1" applyFill="1" applyBorder="1" applyAlignment="1">
      <alignment readingOrder="1"/>
    </xf>
    <xf numFmtId="0" fontId="21" fillId="35" borderId="28" xfId="0" applyFont="1" applyFill="1" applyBorder="1" applyAlignment="1">
      <alignment readingOrder="1"/>
    </xf>
    <xf numFmtId="0" fontId="21" fillId="36" borderId="23" xfId="0" applyFont="1" applyFill="1" applyBorder="1" applyAlignment="1">
      <alignment readingOrder="1"/>
    </xf>
    <xf numFmtId="164" fontId="21" fillId="36" borderId="23" xfId="0" applyNumberFormat="1" applyFont="1" applyFill="1" applyBorder="1" applyAlignment="1">
      <alignment readingOrder="1"/>
    </xf>
    <xf numFmtId="164" fontId="21" fillId="36" borderId="24" xfId="0" applyNumberFormat="1" applyFont="1" applyFill="1" applyBorder="1" applyAlignment="1">
      <alignment readingOrder="1"/>
    </xf>
    <xf numFmtId="0" fontId="21" fillId="33" borderId="0" xfId="0" applyFont="1" applyFill="1" applyAlignment="1">
      <alignment readingOrder="1"/>
    </xf>
    <xf numFmtId="0" fontId="20" fillId="33" borderId="0" xfId="0" applyFont="1" applyFill="1" applyAlignment="1">
      <alignment readingOrder="1"/>
    </xf>
    <xf numFmtId="0" fontId="23" fillId="34" borderId="29" xfId="0" applyFont="1" applyFill="1" applyBorder="1" applyAlignment="1">
      <alignment readingOrder="1"/>
    </xf>
    <xf numFmtId="0" fontId="21" fillId="34" borderId="29" xfId="0" applyFont="1" applyFill="1" applyBorder="1" applyAlignment="1">
      <alignment readingOrder="1"/>
    </xf>
    <xf numFmtId="0" fontId="20" fillId="33" borderId="30" xfId="0" applyFont="1" applyFill="1" applyBorder="1" applyAlignment="1">
      <alignment readingOrder="1"/>
    </xf>
    <xf numFmtId="0" fontId="23" fillId="34" borderId="30" xfId="0" applyFont="1" applyFill="1" applyBorder="1" applyAlignment="1">
      <alignment readingOrder="1"/>
    </xf>
    <xf numFmtId="0" fontId="21" fillId="35" borderId="31" xfId="0" applyFont="1" applyFill="1" applyBorder="1" applyAlignment="1">
      <alignment readingOrder="1"/>
    </xf>
    <xf numFmtId="0" fontId="21" fillId="36" borderId="0" xfId="0" applyFont="1" applyFill="1" applyAlignment="1">
      <alignment readingOrder="1"/>
    </xf>
    <xf numFmtId="164" fontId="21" fillId="36" borderId="0" xfId="0" applyNumberFormat="1" applyFont="1" applyFill="1" applyAlignment="1">
      <alignment readingOrder="1"/>
    </xf>
    <xf numFmtId="0" fontId="25" fillId="0" borderId="35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166" fontId="0" fillId="0" borderId="37" xfId="0" applyNumberForma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microsoft.com/office/2007/relationships/slicerCache" Target="slicerCaches/slicerCache7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microsoft.com/office/2007/relationships/slicerCache" Target="slicerCaches/slicerCache6.xml"/><Relationship Id="rId2" Type="http://schemas.openxmlformats.org/officeDocument/2006/relationships/worksheet" Target="worksheets/sheet2.xml"/><Relationship Id="rId16" Type="http://schemas.microsoft.com/office/2007/relationships/slicerCache" Target="slicerCaches/slicerCache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4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3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[bmw_global_sales_dataset.xlsx]Sheet3!PivotTable2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 (in m) vs Model and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3 SERIES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Sheet3!$A$5:$A$14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Sheet3!$B$5:$B$14</c:f>
              <c:numCache>
                <c:formatCode>_-[$$-409]* #,##0.00_ ;_-[$$-409]* \-#,##0.00\ ;_-[$$-409]* "-"??_ ;_-@_ </c:formatCode>
                <c:ptCount val="10"/>
                <c:pt idx="0">
                  <c:v>720698361</c:v>
                </c:pt>
                <c:pt idx="1">
                  <c:v>399462540</c:v>
                </c:pt>
                <c:pt idx="2">
                  <c:v>454332147</c:v>
                </c:pt>
                <c:pt idx="3">
                  <c:v>545854335</c:v>
                </c:pt>
                <c:pt idx="4">
                  <c:v>448080607</c:v>
                </c:pt>
                <c:pt idx="5">
                  <c:v>325881137</c:v>
                </c:pt>
                <c:pt idx="6">
                  <c:v>777719579</c:v>
                </c:pt>
                <c:pt idx="7">
                  <c:v>509848399</c:v>
                </c:pt>
                <c:pt idx="8">
                  <c:v>549799337</c:v>
                </c:pt>
                <c:pt idx="9">
                  <c:v>515892028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ED77-41FF-9A4F-08E037356CB1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5 SERIES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Sheet3!$A$5:$A$14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Sheet3!$C$5:$C$14</c:f>
              <c:numCache>
                <c:formatCode>_-[$$-409]* #,##0.00_ ;_-[$$-409]* \-#,##0.00\ ;_-[$$-409]* "-"??_ ;_-@_ </c:formatCode>
                <c:ptCount val="10"/>
                <c:pt idx="0">
                  <c:v>391904393</c:v>
                </c:pt>
                <c:pt idx="1">
                  <c:v>471310792</c:v>
                </c:pt>
                <c:pt idx="2">
                  <c:v>261989698</c:v>
                </c:pt>
                <c:pt idx="3">
                  <c:v>403394221</c:v>
                </c:pt>
                <c:pt idx="4">
                  <c:v>393976695</c:v>
                </c:pt>
                <c:pt idx="5">
                  <c:v>505654787</c:v>
                </c:pt>
                <c:pt idx="6">
                  <c:v>662698860</c:v>
                </c:pt>
                <c:pt idx="7">
                  <c:v>622402318</c:v>
                </c:pt>
                <c:pt idx="8">
                  <c:v>194221739</c:v>
                </c:pt>
                <c:pt idx="9">
                  <c:v>344485531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AA-45C9-87DE-527200ABC4D3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7 SERIES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Sheet3!$A$5:$A$14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Sheet3!$D$5:$D$14</c:f>
              <c:numCache>
                <c:formatCode>_-[$$-409]* #,##0.00_ ;_-[$$-409]* \-#,##0.00\ ;_-[$$-409]* "-"??_ ;_-@_ </c:formatCode>
                <c:ptCount val="10"/>
                <c:pt idx="0">
                  <c:v>430685863</c:v>
                </c:pt>
                <c:pt idx="1">
                  <c:v>649741975</c:v>
                </c:pt>
                <c:pt idx="2">
                  <c:v>421303727</c:v>
                </c:pt>
                <c:pt idx="3">
                  <c:v>171606288</c:v>
                </c:pt>
                <c:pt idx="4">
                  <c:v>669811047</c:v>
                </c:pt>
                <c:pt idx="5">
                  <c:v>607010316</c:v>
                </c:pt>
                <c:pt idx="6">
                  <c:v>528614421</c:v>
                </c:pt>
                <c:pt idx="7">
                  <c:v>274050817</c:v>
                </c:pt>
                <c:pt idx="8">
                  <c:v>428997784</c:v>
                </c:pt>
                <c:pt idx="9">
                  <c:v>658112850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AA-45C9-87DE-527200ABC4D3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I4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Sheet3!$A$5:$A$14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Sheet3!$E$5:$E$14</c:f>
              <c:numCache>
                <c:formatCode>_-[$$-409]* #,##0.00_ ;_-[$$-409]* \-#,##0.00\ ;_-[$$-409]* "-"??_ ;_-@_ </c:formatCode>
                <c:ptCount val="10"/>
                <c:pt idx="0">
                  <c:v>766760077</c:v>
                </c:pt>
                <c:pt idx="1">
                  <c:v>435588102</c:v>
                </c:pt>
                <c:pt idx="2">
                  <c:v>766683351</c:v>
                </c:pt>
                <c:pt idx="3">
                  <c:v>645149407</c:v>
                </c:pt>
                <c:pt idx="4">
                  <c:v>502059872</c:v>
                </c:pt>
                <c:pt idx="5">
                  <c:v>588461895</c:v>
                </c:pt>
                <c:pt idx="6">
                  <c:v>206546545</c:v>
                </c:pt>
                <c:pt idx="7">
                  <c:v>560821028</c:v>
                </c:pt>
                <c:pt idx="8">
                  <c:v>451682031</c:v>
                </c:pt>
                <c:pt idx="9">
                  <c:v>388720005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AA-45C9-87DE-527200ABC4D3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I7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Sheet3!$A$5:$A$14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Sheet3!$F$5:$F$14</c:f>
              <c:numCache>
                <c:formatCode>_-[$$-409]* #,##0.00_ ;_-[$$-409]* \-#,##0.00\ ;_-[$$-409]* "-"??_ ;_-@_ </c:formatCode>
                <c:ptCount val="10"/>
                <c:pt idx="0">
                  <c:v>370292281</c:v>
                </c:pt>
                <c:pt idx="1">
                  <c:v>313261437</c:v>
                </c:pt>
                <c:pt idx="2">
                  <c:v>425548367</c:v>
                </c:pt>
                <c:pt idx="3">
                  <c:v>442012574</c:v>
                </c:pt>
                <c:pt idx="4">
                  <c:v>646252846</c:v>
                </c:pt>
                <c:pt idx="5">
                  <c:v>512215244</c:v>
                </c:pt>
                <c:pt idx="6">
                  <c:v>489054398</c:v>
                </c:pt>
                <c:pt idx="7">
                  <c:v>462953103</c:v>
                </c:pt>
                <c:pt idx="8">
                  <c:v>489399849</c:v>
                </c:pt>
                <c:pt idx="9">
                  <c:v>605876143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AA-45C9-87DE-527200ABC4D3}"/>
            </c:ext>
          </c:extLst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IX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Sheet3!$A$5:$A$14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Sheet3!$G$5:$G$14</c:f>
              <c:numCache>
                <c:formatCode>_-[$$-409]* #,##0.00_ ;_-[$$-409]* \-#,##0.00\ ;_-[$$-409]* "-"??_ ;_-@_ </c:formatCode>
                <c:ptCount val="10"/>
                <c:pt idx="0">
                  <c:v>201332298</c:v>
                </c:pt>
                <c:pt idx="1">
                  <c:v>218748238</c:v>
                </c:pt>
                <c:pt idx="2">
                  <c:v>885546739</c:v>
                </c:pt>
                <c:pt idx="3">
                  <c:v>275555077</c:v>
                </c:pt>
                <c:pt idx="4">
                  <c:v>474878196</c:v>
                </c:pt>
                <c:pt idx="5">
                  <c:v>423480173</c:v>
                </c:pt>
                <c:pt idx="6">
                  <c:v>254986368</c:v>
                </c:pt>
                <c:pt idx="7">
                  <c:v>285445704</c:v>
                </c:pt>
                <c:pt idx="8">
                  <c:v>352358291</c:v>
                </c:pt>
                <c:pt idx="9">
                  <c:v>455748789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AA-45C9-87DE-527200ABC4D3}"/>
            </c:ext>
          </c:extLst>
        </c:ser>
        <c:ser>
          <c:idx val="6"/>
          <c:order val="6"/>
          <c:tx>
            <c:strRef>
              <c:f>Sheet3!$H$3:$H$4</c:f>
              <c:strCache>
                <c:ptCount val="1"/>
                <c:pt idx="0">
                  <c:v>X1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Sheet3!$A$5:$A$14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Sheet3!$H$5:$H$14</c:f>
              <c:numCache>
                <c:formatCode>_-[$$-409]* #,##0.00_ ;_-[$$-409]* \-#,##0.00\ ;_-[$$-409]* "-"??_ ;_-@_ </c:formatCode>
                <c:ptCount val="10"/>
                <c:pt idx="0">
                  <c:v>869311916</c:v>
                </c:pt>
                <c:pt idx="1">
                  <c:v>524643385</c:v>
                </c:pt>
                <c:pt idx="2">
                  <c:v>314892161</c:v>
                </c:pt>
                <c:pt idx="3">
                  <c:v>185202219</c:v>
                </c:pt>
                <c:pt idx="4">
                  <c:v>491028985</c:v>
                </c:pt>
                <c:pt idx="5">
                  <c:v>436832455</c:v>
                </c:pt>
                <c:pt idx="6">
                  <c:v>357840578</c:v>
                </c:pt>
                <c:pt idx="7">
                  <c:v>509291268</c:v>
                </c:pt>
                <c:pt idx="8">
                  <c:v>484564793</c:v>
                </c:pt>
                <c:pt idx="9">
                  <c:v>480203521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AA-45C9-87DE-527200ABC4D3}"/>
            </c:ext>
          </c:extLst>
        </c:ser>
        <c:ser>
          <c:idx val="7"/>
          <c:order val="7"/>
          <c:tx>
            <c:strRef>
              <c:f>Sheet3!$I$3:$I$4</c:f>
              <c:strCache>
                <c:ptCount val="1"/>
                <c:pt idx="0">
                  <c:v>X3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Sheet3!$A$5:$A$14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Sheet3!$I$5:$I$14</c:f>
              <c:numCache>
                <c:formatCode>_-[$$-409]* #,##0.00_ ;_-[$$-409]* \-#,##0.00\ ;_-[$$-409]* "-"??_ ;_-@_ </c:formatCode>
                <c:ptCount val="10"/>
                <c:pt idx="0">
                  <c:v>840559193</c:v>
                </c:pt>
                <c:pt idx="1">
                  <c:v>272999617</c:v>
                </c:pt>
                <c:pt idx="2">
                  <c:v>843957286</c:v>
                </c:pt>
                <c:pt idx="3">
                  <c:v>777913791</c:v>
                </c:pt>
                <c:pt idx="4">
                  <c:v>564698386</c:v>
                </c:pt>
                <c:pt idx="5">
                  <c:v>546656121</c:v>
                </c:pt>
                <c:pt idx="6">
                  <c:v>292506834</c:v>
                </c:pt>
                <c:pt idx="7">
                  <c:v>431919213</c:v>
                </c:pt>
                <c:pt idx="8">
                  <c:v>375105474</c:v>
                </c:pt>
                <c:pt idx="9">
                  <c:v>648203441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DAA-45C9-87DE-527200ABC4D3}"/>
            </c:ext>
          </c:extLst>
        </c:ser>
        <c:ser>
          <c:idx val="8"/>
          <c:order val="8"/>
          <c:tx>
            <c:strRef>
              <c:f>Sheet3!$J$3:$J$4</c:f>
              <c:strCache>
                <c:ptCount val="1"/>
                <c:pt idx="0">
                  <c:v>X5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Sheet3!$A$5:$A$14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Sheet3!$J$5:$J$14</c:f>
              <c:numCache>
                <c:formatCode>_-[$$-409]* #,##0.00_ ;_-[$$-409]* \-#,##0.00\ ;_-[$$-409]* "-"??_ ;_-@_ </c:formatCode>
                <c:ptCount val="10"/>
                <c:pt idx="0">
                  <c:v>632357508</c:v>
                </c:pt>
                <c:pt idx="1">
                  <c:v>441256285</c:v>
                </c:pt>
                <c:pt idx="2">
                  <c:v>673212718</c:v>
                </c:pt>
                <c:pt idx="3">
                  <c:v>555860881</c:v>
                </c:pt>
                <c:pt idx="4">
                  <c:v>390074369</c:v>
                </c:pt>
                <c:pt idx="5">
                  <c:v>356419931</c:v>
                </c:pt>
                <c:pt idx="6">
                  <c:v>457702758</c:v>
                </c:pt>
                <c:pt idx="7">
                  <c:v>443759922</c:v>
                </c:pt>
                <c:pt idx="8">
                  <c:v>509676869</c:v>
                </c:pt>
                <c:pt idx="9">
                  <c:v>536659056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AA-45C9-87DE-527200ABC4D3}"/>
            </c:ext>
          </c:extLst>
        </c:ser>
        <c:ser>
          <c:idx val="9"/>
          <c:order val="9"/>
          <c:tx>
            <c:strRef>
              <c:f>Sheet3!$K$3:$K$4</c:f>
              <c:strCache>
                <c:ptCount val="1"/>
                <c:pt idx="0">
                  <c:v>X7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Sheet3!$A$5:$A$14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Sheet3!$K$5:$K$14</c:f>
              <c:numCache>
                <c:formatCode>_-[$$-409]* #,##0.00_ ;_-[$$-409]* \-#,##0.00\ ;_-[$$-409]* "-"??_ ;_-@_ </c:formatCode>
                <c:ptCount val="10"/>
                <c:pt idx="0">
                  <c:v>529035253</c:v>
                </c:pt>
                <c:pt idx="1">
                  <c:v>234649332</c:v>
                </c:pt>
                <c:pt idx="2">
                  <c:v>343574306</c:v>
                </c:pt>
                <c:pt idx="3">
                  <c:v>308770473</c:v>
                </c:pt>
                <c:pt idx="4">
                  <c:v>478632366</c:v>
                </c:pt>
                <c:pt idx="5">
                  <c:v>313886664</c:v>
                </c:pt>
                <c:pt idx="6">
                  <c:v>504071117</c:v>
                </c:pt>
                <c:pt idx="7">
                  <c:v>452987215</c:v>
                </c:pt>
                <c:pt idx="8">
                  <c:v>550500519</c:v>
                </c:pt>
                <c:pt idx="9">
                  <c:v>491293271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DAA-45C9-87DE-527200ABC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5"/>
        <c:overlap val="100"/>
        <c:axId val="1046505480"/>
        <c:axId val="1046507528"/>
      </c:barChart>
      <c:catAx>
        <c:axId val="1046505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507528"/>
        <c:crosses val="autoZero"/>
        <c:auto val="1"/>
        <c:lblAlgn val="ctr"/>
        <c:lblOffset val="100"/>
        <c:noMultiLvlLbl val="0"/>
      </c:catAx>
      <c:valAx>
        <c:axId val="1046507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,,&quot;M&quot;_ ;_-[$$-409]* \-#,##0.00\ ;_-[$$-409]* &quot;-&quot;??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505480"/>
        <c:crosses val="autoZero"/>
        <c:crossBetween val="between"/>
        <c:minorUnit val="125000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653803912808772"/>
          <c:y val="0.89044422573537041"/>
          <c:w val="0.66346202692405387"/>
          <c:h val="9.09101026682618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[bmw_global_sales_dataset.xlsx]Sheet3!PivotTable1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E7E6E6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7E6E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Sheet3!$A$39:$A$48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Sheet3!$B$39:$B$48</c:f>
              <c:numCache>
                <c:formatCode>_-[$$-409]* #,##0.00_ ;_-[$$-409]* \-#,##0.00\ ;_-[$$-409]* "-"??_ ;_-@_ </c:formatCode>
                <c:ptCount val="10"/>
                <c:pt idx="0">
                  <c:v>5752937143</c:v>
                </c:pt>
                <c:pt idx="1">
                  <c:v>3961661703</c:v>
                </c:pt>
                <c:pt idx="2">
                  <c:v>5391040500</c:v>
                </c:pt>
                <c:pt idx="3">
                  <c:v>4311319266</c:v>
                </c:pt>
                <c:pt idx="4">
                  <c:v>5059493369</c:v>
                </c:pt>
                <c:pt idx="5">
                  <c:v>4616498723</c:v>
                </c:pt>
                <c:pt idx="6">
                  <c:v>4531741458</c:v>
                </c:pt>
                <c:pt idx="7">
                  <c:v>4553478987</c:v>
                </c:pt>
                <c:pt idx="8">
                  <c:v>4386306686</c:v>
                </c:pt>
                <c:pt idx="9">
                  <c:v>5125194635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39-4100-B4BA-47979AC26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64712"/>
        <c:axId val="53066760"/>
      </c:lineChart>
      <c:catAx>
        <c:axId val="53064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66760"/>
        <c:crosses val="autoZero"/>
        <c:auto val="1"/>
        <c:lblAlgn val="ctr"/>
        <c:lblOffset val="100"/>
        <c:noMultiLvlLbl val="0"/>
      </c:catAx>
      <c:valAx>
        <c:axId val="53066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64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[bmw_global_sales_dataset.xlsx]Sheet1!PivotTable1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unit sold per model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3 SERIES</c:v>
                </c:pt>
                <c:pt idx="1">
                  <c:v>5 SERIES</c:v>
                </c:pt>
                <c:pt idx="2">
                  <c:v>7 SERIES</c:v>
                </c:pt>
                <c:pt idx="3">
                  <c:v>I4</c:v>
                </c:pt>
                <c:pt idx="4">
                  <c:v>I7</c:v>
                </c:pt>
                <c:pt idx="5">
                  <c:v>IX</c:v>
                </c:pt>
                <c:pt idx="6">
                  <c:v>X1</c:v>
                </c:pt>
                <c:pt idx="7">
                  <c:v>X3</c:v>
                </c:pt>
                <c:pt idx="8">
                  <c:v>X5</c:v>
                </c:pt>
                <c:pt idx="9">
                  <c:v>X7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70886</c:v>
                </c:pt>
                <c:pt idx="1">
                  <c:v>59144</c:v>
                </c:pt>
                <c:pt idx="2">
                  <c:v>65071</c:v>
                </c:pt>
                <c:pt idx="3">
                  <c:v>69528</c:v>
                </c:pt>
                <c:pt idx="4">
                  <c:v>63974</c:v>
                </c:pt>
                <c:pt idx="5">
                  <c:v>51067</c:v>
                </c:pt>
                <c:pt idx="6">
                  <c:v>61341</c:v>
                </c:pt>
                <c:pt idx="7">
                  <c:v>73358</c:v>
                </c:pt>
                <c:pt idx="8">
                  <c:v>65505</c:v>
                </c:pt>
                <c:pt idx="9">
                  <c:v>53318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E-4F93-892F-30C209941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5"/>
        <c:overlap val="-27"/>
        <c:axId val="1315599368"/>
        <c:axId val="1315609608"/>
      </c:barChart>
      <c:catAx>
        <c:axId val="1315599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609608"/>
        <c:crosses val="autoZero"/>
        <c:auto val="1"/>
        <c:lblAlgn val="ctr"/>
        <c:lblOffset val="100"/>
        <c:noMultiLvlLbl val="0"/>
      </c:catAx>
      <c:valAx>
        <c:axId val="131560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5993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[bmw_global_sales_dataset.xlsx]Sheet1!PivotTable1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 proportion per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D0CECE"/>
            </a:solidFill>
            <a:ln>
              <a:solidFill>
                <a:srgbClr val="00206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D0CECE"/>
            </a:solidFill>
            <a:ln>
              <a:solidFill>
                <a:srgbClr val="00206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D0CECE"/>
            </a:solidFill>
            <a:ln>
              <a:solidFill>
                <a:srgbClr val="00206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D0CECE"/>
            </a:solidFill>
            <a:ln>
              <a:solidFill>
                <a:srgbClr val="00206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D0CECE"/>
            </a:solidFill>
            <a:ln>
              <a:solidFill>
                <a:srgbClr val="00206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0F-4C3E-B7AB-FC926FB93B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0F-4C3E-B7AB-FC926FB93B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0F-4C3E-B7AB-FC926FB93B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0F-4C3E-B7AB-FC926FB93B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50F-4C3E-B7AB-FC926FB93B0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50F-4C3E-B7AB-FC926FB93B0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50F-4C3E-B7AB-FC926FB93B0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50F-4C3E-B7AB-FC926FB93B0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50F-4C3E-B7AB-FC926FB93B0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50F-4C3E-B7AB-FC926FB93B0E}"/>
              </c:ext>
            </c:extLst>
          </c:dPt>
          <c:dLbls>
            <c:spPr>
              <a:solidFill>
                <a:srgbClr val="D0CECE"/>
              </a:solidFill>
              <a:ln>
                <a:solidFill>
                  <a:srgbClr val="00206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Sheet1!$A$4:$A$14</c:f>
              <c:strCache>
                <c:ptCount val="10"/>
                <c:pt idx="0">
                  <c:v>3 SERIES</c:v>
                </c:pt>
                <c:pt idx="1">
                  <c:v>5 SERIES</c:v>
                </c:pt>
                <c:pt idx="2">
                  <c:v>7 SERIES</c:v>
                </c:pt>
                <c:pt idx="3">
                  <c:v>I4</c:v>
                </c:pt>
                <c:pt idx="4">
                  <c:v>I7</c:v>
                </c:pt>
                <c:pt idx="5">
                  <c:v>IX</c:v>
                </c:pt>
                <c:pt idx="6">
                  <c:v>X1</c:v>
                </c:pt>
                <c:pt idx="7">
                  <c:v>X3</c:v>
                </c:pt>
                <c:pt idx="8">
                  <c:v>X5</c:v>
                </c:pt>
                <c:pt idx="9">
                  <c:v>X7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70886</c:v>
                </c:pt>
                <c:pt idx="1">
                  <c:v>59144</c:v>
                </c:pt>
                <c:pt idx="2">
                  <c:v>65071</c:v>
                </c:pt>
                <c:pt idx="3">
                  <c:v>69528</c:v>
                </c:pt>
                <c:pt idx="4">
                  <c:v>63974</c:v>
                </c:pt>
                <c:pt idx="5">
                  <c:v>51067</c:v>
                </c:pt>
                <c:pt idx="6">
                  <c:v>61341</c:v>
                </c:pt>
                <c:pt idx="7">
                  <c:v>73358</c:v>
                </c:pt>
                <c:pt idx="8">
                  <c:v>65505</c:v>
                </c:pt>
                <c:pt idx="9">
                  <c:v>53318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50F-4C3E-B7AB-FC926FB93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[bmw_global_sales_dataset.xlsx]Sheet4!PivotTable1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_-[$$-409]* #,##0.00_ ;_-[$$-409]* \-#,##0.00\ ;_-[$$-409]* "-"??_ ;_-@_ </c:formatCode>
                <c:ptCount val="12"/>
                <c:pt idx="0">
                  <c:v>4040404489</c:v>
                </c:pt>
                <c:pt idx="1">
                  <c:v>4658820976</c:v>
                </c:pt>
                <c:pt idx="2">
                  <c:v>3984022388</c:v>
                </c:pt>
                <c:pt idx="3">
                  <c:v>3211902389</c:v>
                </c:pt>
                <c:pt idx="4">
                  <c:v>3790027995</c:v>
                </c:pt>
                <c:pt idx="5">
                  <c:v>3703459467</c:v>
                </c:pt>
                <c:pt idx="6">
                  <c:v>3745579882</c:v>
                </c:pt>
                <c:pt idx="7">
                  <c:v>3935024568</c:v>
                </c:pt>
                <c:pt idx="8">
                  <c:v>3764483821</c:v>
                </c:pt>
                <c:pt idx="9">
                  <c:v>3766028345</c:v>
                </c:pt>
                <c:pt idx="10">
                  <c:v>4299379444</c:v>
                </c:pt>
                <c:pt idx="11">
                  <c:v>4790538706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30-4A97-92BB-5A3B96720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665287"/>
        <c:axId val="270269959"/>
      </c:lineChart>
      <c:catAx>
        <c:axId val="269665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269959"/>
        <c:crosses val="autoZero"/>
        <c:auto val="1"/>
        <c:lblAlgn val="ctr"/>
        <c:lblOffset val="100"/>
        <c:noMultiLvlLbl val="0"/>
      </c:catAx>
      <c:valAx>
        <c:axId val="270269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-[$$-409]* #,##0.0,,&quot;M&quot;_ ;_-[$$-409]* \-#,##0.00\ ;_-[$$-409]* &quot;-&quot;??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665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[bmw_global_sales_dataset.xlsx]Sheet9!PivotTable1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 spend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Sheet9!$A$4:$A$14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Sheet9!$B$4:$B$14</c:f>
              <c:numCache>
                <c:formatCode>_-[$$-409]* #,##0.00_ ;_-[$$-409]* \-#,##0.00\ ;_-[$$-409]* "-"??_ ;_-@_ </c:formatCode>
                <c:ptCount val="10"/>
                <c:pt idx="0">
                  <c:v>33687210</c:v>
                </c:pt>
                <c:pt idx="1">
                  <c:v>21380293</c:v>
                </c:pt>
                <c:pt idx="2">
                  <c:v>29982491</c:v>
                </c:pt>
                <c:pt idx="3">
                  <c:v>28848190</c:v>
                </c:pt>
                <c:pt idx="4">
                  <c:v>28009015</c:v>
                </c:pt>
                <c:pt idx="5">
                  <c:v>26846112</c:v>
                </c:pt>
                <c:pt idx="6">
                  <c:v>24563472</c:v>
                </c:pt>
                <c:pt idx="7">
                  <c:v>28138507</c:v>
                </c:pt>
                <c:pt idx="8">
                  <c:v>26784146</c:v>
                </c:pt>
                <c:pt idx="9">
                  <c:v>31252794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6C-4486-884F-99D74265C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866312"/>
        <c:axId val="176868360"/>
      </c:lineChart>
      <c:catAx>
        <c:axId val="176866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68360"/>
        <c:crosses val="autoZero"/>
        <c:auto val="1"/>
        <c:lblAlgn val="ctr"/>
        <c:lblOffset val="100"/>
        <c:noMultiLvlLbl val="0"/>
      </c:catAx>
      <c:valAx>
        <c:axId val="176868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,,&quot;M&quot;_ ;_-[$$-409]* \-#,##0.00\ ;_-[$$-409]* &quot;-&quot;??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66312"/>
        <c:crosses val="autoZero"/>
        <c:crossBetween val="between"/>
        <c:minorUnit val="25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[bmw_global_sales_dataset.xlsx]Sheet9!PivotTable2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 spend vs Year and fuel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Sheet9!$B$21:$B$22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Sheet9!$A$23:$A$33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Sheet9!$B$23:$B$33</c:f>
              <c:numCache>
                <c:formatCode>_-[$$-409]* #,##0.00_ ;_-[$$-409]* \-#,##0.00\ ;_-[$$-409]* "-"??_ ;_-@_ </c:formatCode>
                <c:ptCount val="10"/>
                <c:pt idx="0">
                  <c:v>10125806</c:v>
                </c:pt>
                <c:pt idx="1">
                  <c:v>4815206</c:v>
                </c:pt>
                <c:pt idx="2">
                  <c:v>6101787</c:v>
                </c:pt>
                <c:pt idx="3">
                  <c:v>5291554</c:v>
                </c:pt>
                <c:pt idx="4">
                  <c:v>6467120</c:v>
                </c:pt>
                <c:pt idx="5">
                  <c:v>8197239</c:v>
                </c:pt>
                <c:pt idx="6">
                  <c:v>7260594</c:v>
                </c:pt>
                <c:pt idx="7">
                  <c:v>7338013</c:v>
                </c:pt>
                <c:pt idx="8">
                  <c:v>6755144</c:v>
                </c:pt>
                <c:pt idx="9">
                  <c:v>4774353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4-4CBB-9205-2C9CB3EBD7E5}"/>
            </c:ext>
          </c:extLst>
        </c:ser>
        <c:ser>
          <c:idx val="1"/>
          <c:order val="1"/>
          <c:tx>
            <c:strRef>
              <c:f>Sheet9!$C$21:$C$22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Sheet9!$A$23:$A$33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Sheet9!$C$23:$C$33</c:f>
              <c:numCache>
                <c:formatCode>_-[$$-409]* #,##0.00_ ;_-[$$-409]* \-#,##0.00\ ;_-[$$-409]* "-"??_ ;_-@_ </c:formatCode>
                <c:ptCount val="10"/>
                <c:pt idx="0">
                  <c:v>6620489</c:v>
                </c:pt>
                <c:pt idx="1">
                  <c:v>7126587</c:v>
                </c:pt>
                <c:pt idx="2">
                  <c:v>8770123</c:v>
                </c:pt>
                <c:pt idx="3">
                  <c:v>8780038</c:v>
                </c:pt>
                <c:pt idx="4">
                  <c:v>8239745</c:v>
                </c:pt>
                <c:pt idx="5">
                  <c:v>6636990</c:v>
                </c:pt>
                <c:pt idx="6">
                  <c:v>5225687</c:v>
                </c:pt>
                <c:pt idx="7">
                  <c:v>6509163</c:v>
                </c:pt>
                <c:pt idx="8">
                  <c:v>7955751</c:v>
                </c:pt>
                <c:pt idx="9">
                  <c:v>10301147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39-425F-8796-50AFBE8C97D6}"/>
            </c:ext>
          </c:extLst>
        </c:ser>
        <c:ser>
          <c:idx val="2"/>
          <c:order val="2"/>
          <c:tx>
            <c:strRef>
              <c:f>Sheet9!$D$21:$D$22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Sheet9!$A$23:$A$33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Sheet9!$D$23:$D$33</c:f>
              <c:numCache>
                <c:formatCode>_-[$$-409]* #,##0.00_ ;_-[$$-409]* \-#,##0.00\ ;_-[$$-409]* "-"??_ ;_-@_ </c:formatCode>
                <c:ptCount val="10"/>
                <c:pt idx="0">
                  <c:v>9712598</c:v>
                </c:pt>
                <c:pt idx="1">
                  <c:v>5502975</c:v>
                </c:pt>
                <c:pt idx="2">
                  <c:v>8240302</c:v>
                </c:pt>
                <c:pt idx="3">
                  <c:v>6468781</c:v>
                </c:pt>
                <c:pt idx="4">
                  <c:v>5723547</c:v>
                </c:pt>
                <c:pt idx="5">
                  <c:v>5858077</c:v>
                </c:pt>
                <c:pt idx="6">
                  <c:v>4681258</c:v>
                </c:pt>
                <c:pt idx="7">
                  <c:v>8415170</c:v>
                </c:pt>
                <c:pt idx="8">
                  <c:v>6513775</c:v>
                </c:pt>
                <c:pt idx="9">
                  <c:v>8564336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39-425F-8796-50AFBE8C97D6}"/>
            </c:ext>
          </c:extLst>
        </c:ser>
        <c:ser>
          <c:idx val="3"/>
          <c:order val="3"/>
          <c:tx>
            <c:strRef>
              <c:f>Sheet9!$E$21:$E$22</c:f>
              <c:strCache>
                <c:ptCount val="1"/>
                <c:pt idx="0">
                  <c:v>Petrol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Sheet9!$A$23:$A$33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Sheet9!$E$23:$E$33</c:f>
              <c:numCache>
                <c:formatCode>_-[$$-409]* #,##0.00_ ;_-[$$-409]* \-#,##0.00\ ;_-[$$-409]* "-"??_ ;_-@_ </c:formatCode>
                <c:ptCount val="10"/>
                <c:pt idx="0">
                  <c:v>7228317</c:v>
                </c:pt>
                <c:pt idx="1">
                  <c:v>3935525</c:v>
                </c:pt>
                <c:pt idx="2">
                  <c:v>6870279</c:v>
                </c:pt>
                <c:pt idx="3">
                  <c:v>8307817</c:v>
                </c:pt>
                <c:pt idx="4">
                  <c:v>7578603</c:v>
                </c:pt>
                <c:pt idx="5">
                  <c:v>6153806</c:v>
                </c:pt>
                <c:pt idx="6">
                  <c:v>7395933</c:v>
                </c:pt>
                <c:pt idx="7">
                  <c:v>5876161</c:v>
                </c:pt>
                <c:pt idx="8">
                  <c:v>5559476</c:v>
                </c:pt>
                <c:pt idx="9">
                  <c:v>7612958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39-425F-8796-50AFBE8C9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3912328"/>
        <c:axId val="904317959"/>
      </c:barChart>
      <c:catAx>
        <c:axId val="2113912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317959"/>
        <c:crosses val="autoZero"/>
        <c:auto val="1"/>
        <c:lblAlgn val="ctr"/>
        <c:lblOffset val="100"/>
        <c:noMultiLvlLbl val="0"/>
      </c:catAx>
      <c:valAx>
        <c:axId val="904317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,,&quot;M&quot;\ ;_-[$$-409]* \-#,##0.00\ ;_-[$$-409]* &quot;-&quot;??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912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[bmw_global_sales_dataset.xlsx]Sheet9!PivotTable3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revenue vs Year and Fuel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Sheet9!$B$38:$B$39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Sheet9!$A$40:$A$50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Sheet9!$B$40:$B$50</c:f>
              <c:numCache>
                <c:formatCode>_-[$$-409]* #,##0.00_ ;_-[$$-409]* \-#,##0.00\ ;_-[$$-409]* "-"??_ ;_-@_ </c:formatCode>
                <c:ptCount val="10"/>
                <c:pt idx="0">
                  <c:v>1512165598</c:v>
                </c:pt>
                <c:pt idx="1">
                  <c:v>971679137</c:v>
                </c:pt>
                <c:pt idx="2">
                  <c:v>1129143874</c:v>
                </c:pt>
                <c:pt idx="3">
                  <c:v>901596886</c:v>
                </c:pt>
                <c:pt idx="4">
                  <c:v>1140756993</c:v>
                </c:pt>
                <c:pt idx="5">
                  <c:v>1526274771</c:v>
                </c:pt>
                <c:pt idx="6">
                  <c:v>1170748420</c:v>
                </c:pt>
                <c:pt idx="7">
                  <c:v>1173699787</c:v>
                </c:pt>
                <c:pt idx="8">
                  <c:v>1205139555</c:v>
                </c:pt>
                <c:pt idx="9">
                  <c:v>1012966846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E-4954-A7A5-CECB6E1C268F}"/>
            </c:ext>
          </c:extLst>
        </c:ser>
        <c:ser>
          <c:idx val="1"/>
          <c:order val="1"/>
          <c:tx>
            <c:strRef>
              <c:f>Sheet9!$C$38:$C$39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Sheet9!$A$40:$A$50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Sheet9!$C$40:$C$50</c:f>
              <c:numCache>
                <c:formatCode>_-[$$-409]* #,##0.00_ ;_-[$$-409]* \-#,##0.00\ ;_-[$$-409]* "-"??_ ;_-@_ </c:formatCode>
                <c:ptCount val="10"/>
                <c:pt idx="0">
                  <c:v>1090740732</c:v>
                </c:pt>
                <c:pt idx="1">
                  <c:v>1174316212</c:v>
                </c:pt>
                <c:pt idx="2">
                  <c:v>1244704321</c:v>
                </c:pt>
                <c:pt idx="3">
                  <c:v>1258767077</c:v>
                </c:pt>
                <c:pt idx="4">
                  <c:v>1294939483</c:v>
                </c:pt>
                <c:pt idx="5">
                  <c:v>1061918550</c:v>
                </c:pt>
                <c:pt idx="6">
                  <c:v>1144375528</c:v>
                </c:pt>
                <c:pt idx="7">
                  <c:v>1169399064</c:v>
                </c:pt>
                <c:pt idx="8">
                  <c:v>1419647397</c:v>
                </c:pt>
                <c:pt idx="9">
                  <c:v>1820154415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00D-4F7F-819C-AF6ED446DCA4}"/>
            </c:ext>
          </c:extLst>
        </c:ser>
        <c:ser>
          <c:idx val="2"/>
          <c:order val="2"/>
          <c:tx>
            <c:strRef>
              <c:f>Sheet9!$D$38:$D$39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Sheet9!$A$40:$A$50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Sheet9!$D$40:$D$50</c:f>
              <c:numCache>
                <c:formatCode>_-[$$-409]* #,##0.00_ ;_-[$$-409]* \-#,##0.00\ ;_-[$$-409]* "-"??_ ;_-@_ </c:formatCode>
                <c:ptCount val="10"/>
                <c:pt idx="0">
                  <c:v>1618277082</c:v>
                </c:pt>
                <c:pt idx="1">
                  <c:v>1123503599</c:v>
                </c:pt>
                <c:pt idx="2">
                  <c:v>1541391857</c:v>
                </c:pt>
                <c:pt idx="3">
                  <c:v>796908749</c:v>
                </c:pt>
                <c:pt idx="4">
                  <c:v>1130377865</c:v>
                </c:pt>
                <c:pt idx="5">
                  <c:v>981601630</c:v>
                </c:pt>
                <c:pt idx="6">
                  <c:v>1000611454</c:v>
                </c:pt>
                <c:pt idx="7">
                  <c:v>1408320318</c:v>
                </c:pt>
                <c:pt idx="8">
                  <c:v>967774429</c:v>
                </c:pt>
                <c:pt idx="9">
                  <c:v>1104717001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00D-4F7F-819C-AF6ED446DCA4}"/>
            </c:ext>
          </c:extLst>
        </c:ser>
        <c:ser>
          <c:idx val="3"/>
          <c:order val="3"/>
          <c:tx>
            <c:strRef>
              <c:f>Sheet9!$E$38:$E$39</c:f>
              <c:strCache>
                <c:ptCount val="1"/>
                <c:pt idx="0">
                  <c:v>Petrol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Sheet9!$A$40:$A$50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Sheet9!$E$40:$E$50</c:f>
              <c:numCache>
                <c:formatCode>_-[$$-409]* #,##0.00_ ;_-[$$-409]* \-#,##0.00\ ;_-[$$-409]* "-"??_ ;_-@_ </c:formatCode>
                <c:ptCount val="10"/>
                <c:pt idx="0">
                  <c:v>1531753731</c:v>
                </c:pt>
                <c:pt idx="1">
                  <c:v>692162755</c:v>
                </c:pt>
                <c:pt idx="2">
                  <c:v>1475800448</c:v>
                </c:pt>
                <c:pt idx="3">
                  <c:v>1354046554</c:v>
                </c:pt>
                <c:pt idx="4">
                  <c:v>1493419028</c:v>
                </c:pt>
                <c:pt idx="5">
                  <c:v>1046703772</c:v>
                </c:pt>
                <c:pt idx="6">
                  <c:v>1216006056</c:v>
                </c:pt>
                <c:pt idx="7">
                  <c:v>802059818</c:v>
                </c:pt>
                <c:pt idx="8">
                  <c:v>793745305</c:v>
                </c:pt>
                <c:pt idx="9">
                  <c:v>1187356373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00D-4F7F-819C-AF6ED446D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1463816"/>
        <c:axId val="1281465864"/>
      </c:barChart>
      <c:catAx>
        <c:axId val="1281463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65864"/>
        <c:crosses val="autoZero"/>
        <c:auto val="1"/>
        <c:lblAlgn val="ctr"/>
        <c:lblOffset val="100"/>
        <c:noMultiLvlLbl val="0"/>
      </c:catAx>
      <c:valAx>
        <c:axId val="1281465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,,&quot;M&quot;_ ;_-[$$-409]* \-#,##0.00\ ;_-[$$-409]* &quot;-&quot;??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63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[bmw_global_sales_dataset.xlsx]Sheet2!PivotTable1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 vs country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Sheet2!$B$4:$B$5</c:f>
              <c:strCache>
                <c:ptCount val="1"/>
                <c:pt idx="0">
                  <c:v>3 SERIES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China</c:v>
                </c:pt>
                <c:pt idx="1">
                  <c:v>UK</c:v>
                </c:pt>
                <c:pt idx="2">
                  <c:v>France</c:v>
                </c:pt>
                <c:pt idx="3">
                  <c:v>India</c:v>
                </c:pt>
                <c:pt idx="4">
                  <c:v>Brazil</c:v>
                </c:pt>
                <c:pt idx="5">
                  <c:v>Australia</c:v>
                </c:pt>
                <c:pt idx="6">
                  <c:v>Germany</c:v>
                </c:pt>
                <c:pt idx="7">
                  <c:v>USA</c:v>
                </c:pt>
                <c:pt idx="8">
                  <c:v>Japan</c:v>
                </c:pt>
                <c:pt idx="9">
                  <c:v>Canada</c:v>
                </c:pt>
              </c:strCache>
            </c:strRef>
          </c:cat>
          <c:val>
            <c:numRef>
              <c:f>Sheet2!$B$6:$B$16</c:f>
              <c:numCache>
                <c:formatCode>_-[$$-409]* #,##0.00_ ;_-[$$-409]* \-#,##0.00\ ;_-[$$-409]* "-"??_ ;_-@_ </c:formatCode>
                <c:ptCount val="10"/>
                <c:pt idx="0">
                  <c:v>620342592</c:v>
                </c:pt>
                <c:pt idx="1">
                  <c:v>755587310</c:v>
                </c:pt>
                <c:pt idx="2">
                  <c:v>582240109</c:v>
                </c:pt>
                <c:pt idx="3">
                  <c:v>482950294</c:v>
                </c:pt>
                <c:pt idx="4">
                  <c:v>395142483</c:v>
                </c:pt>
                <c:pt idx="5">
                  <c:v>503828265</c:v>
                </c:pt>
                <c:pt idx="6">
                  <c:v>356731603</c:v>
                </c:pt>
                <c:pt idx="7">
                  <c:v>576238608</c:v>
                </c:pt>
                <c:pt idx="8">
                  <c:v>412997553</c:v>
                </c:pt>
                <c:pt idx="9">
                  <c:v>561509653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C-4047-8681-E3FC09A5294E}"/>
            </c:ext>
          </c:extLst>
        </c:ser>
        <c:ser>
          <c:idx val="1"/>
          <c:order val="1"/>
          <c:tx>
            <c:strRef>
              <c:f>Sheet2!$C$4:$C$5</c:f>
              <c:strCache>
                <c:ptCount val="1"/>
                <c:pt idx="0">
                  <c:v>5 SERIES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China</c:v>
                </c:pt>
                <c:pt idx="1">
                  <c:v>UK</c:v>
                </c:pt>
                <c:pt idx="2">
                  <c:v>France</c:v>
                </c:pt>
                <c:pt idx="3">
                  <c:v>India</c:v>
                </c:pt>
                <c:pt idx="4">
                  <c:v>Brazil</c:v>
                </c:pt>
                <c:pt idx="5">
                  <c:v>Australia</c:v>
                </c:pt>
                <c:pt idx="6">
                  <c:v>Germany</c:v>
                </c:pt>
                <c:pt idx="7">
                  <c:v>USA</c:v>
                </c:pt>
                <c:pt idx="8">
                  <c:v>Japan</c:v>
                </c:pt>
                <c:pt idx="9">
                  <c:v>Canada</c:v>
                </c:pt>
              </c:strCache>
            </c:strRef>
          </c:cat>
          <c:val>
            <c:numRef>
              <c:f>Sheet2!$C$6:$C$16</c:f>
              <c:numCache>
                <c:formatCode>_-[$$-409]* #,##0.00_ ;_-[$$-409]* \-#,##0.00\ ;_-[$$-409]* "-"??_ ;_-@_ </c:formatCode>
                <c:ptCount val="10"/>
                <c:pt idx="0">
                  <c:v>623851582</c:v>
                </c:pt>
                <c:pt idx="1">
                  <c:v>416969698</c:v>
                </c:pt>
                <c:pt idx="2">
                  <c:v>202029552</c:v>
                </c:pt>
                <c:pt idx="3">
                  <c:v>384703665</c:v>
                </c:pt>
                <c:pt idx="4">
                  <c:v>670494529</c:v>
                </c:pt>
                <c:pt idx="5">
                  <c:v>250872088</c:v>
                </c:pt>
                <c:pt idx="6">
                  <c:v>658295416</c:v>
                </c:pt>
                <c:pt idx="7">
                  <c:v>359723671</c:v>
                </c:pt>
                <c:pt idx="8">
                  <c:v>289134016</c:v>
                </c:pt>
                <c:pt idx="9">
                  <c:v>395964817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D2-4166-849D-B7610B176FAE}"/>
            </c:ext>
          </c:extLst>
        </c:ser>
        <c:ser>
          <c:idx val="2"/>
          <c:order val="2"/>
          <c:tx>
            <c:strRef>
              <c:f>Sheet2!$D$4:$D$5</c:f>
              <c:strCache>
                <c:ptCount val="1"/>
                <c:pt idx="0">
                  <c:v>7 SERIES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China</c:v>
                </c:pt>
                <c:pt idx="1">
                  <c:v>UK</c:v>
                </c:pt>
                <c:pt idx="2">
                  <c:v>France</c:v>
                </c:pt>
                <c:pt idx="3">
                  <c:v>India</c:v>
                </c:pt>
                <c:pt idx="4">
                  <c:v>Brazil</c:v>
                </c:pt>
                <c:pt idx="5">
                  <c:v>Australia</c:v>
                </c:pt>
                <c:pt idx="6">
                  <c:v>Germany</c:v>
                </c:pt>
                <c:pt idx="7">
                  <c:v>USA</c:v>
                </c:pt>
                <c:pt idx="8">
                  <c:v>Japan</c:v>
                </c:pt>
                <c:pt idx="9">
                  <c:v>Canada</c:v>
                </c:pt>
              </c:strCache>
            </c:strRef>
          </c:cat>
          <c:val>
            <c:numRef>
              <c:f>Sheet2!$D$6:$D$16</c:f>
              <c:numCache>
                <c:formatCode>_-[$$-409]* #,##0.00_ ;_-[$$-409]* \-#,##0.00\ ;_-[$$-409]* "-"??_ ;_-@_ </c:formatCode>
                <c:ptCount val="10"/>
                <c:pt idx="0">
                  <c:v>557478300</c:v>
                </c:pt>
                <c:pt idx="1">
                  <c:v>363633619</c:v>
                </c:pt>
                <c:pt idx="2">
                  <c:v>456610101</c:v>
                </c:pt>
                <c:pt idx="3">
                  <c:v>785643998</c:v>
                </c:pt>
                <c:pt idx="4">
                  <c:v>614830112</c:v>
                </c:pt>
                <c:pt idx="5">
                  <c:v>496022398</c:v>
                </c:pt>
                <c:pt idx="6">
                  <c:v>198919927</c:v>
                </c:pt>
                <c:pt idx="7">
                  <c:v>442444500</c:v>
                </c:pt>
                <c:pt idx="8">
                  <c:v>563816344</c:v>
                </c:pt>
                <c:pt idx="9">
                  <c:v>360535789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D2-4166-849D-B7610B176FAE}"/>
            </c:ext>
          </c:extLst>
        </c:ser>
        <c:ser>
          <c:idx val="3"/>
          <c:order val="3"/>
          <c:tx>
            <c:strRef>
              <c:f>Sheet2!$E$4:$E$5</c:f>
              <c:strCache>
                <c:ptCount val="1"/>
                <c:pt idx="0">
                  <c:v>I4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China</c:v>
                </c:pt>
                <c:pt idx="1">
                  <c:v>UK</c:v>
                </c:pt>
                <c:pt idx="2">
                  <c:v>France</c:v>
                </c:pt>
                <c:pt idx="3">
                  <c:v>India</c:v>
                </c:pt>
                <c:pt idx="4">
                  <c:v>Brazil</c:v>
                </c:pt>
                <c:pt idx="5">
                  <c:v>Australia</c:v>
                </c:pt>
                <c:pt idx="6">
                  <c:v>Germany</c:v>
                </c:pt>
                <c:pt idx="7">
                  <c:v>USA</c:v>
                </c:pt>
                <c:pt idx="8">
                  <c:v>Japan</c:v>
                </c:pt>
                <c:pt idx="9">
                  <c:v>Canada</c:v>
                </c:pt>
              </c:strCache>
            </c:strRef>
          </c:cat>
          <c:val>
            <c:numRef>
              <c:f>Sheet2!$E$6:$E$16</c:f>
              <c:numCache>
                <c:formatCode>_-[$$-409]* #,##0.00_ ;_-[$$-409]* \-#,##0.00\ ;_-[$$-409]* "-"??_ ;_-@_ </c:formatCode>
                <c:ptCount val="10"/>
                <c:pt idx="0">
                  <c:v>750818052</c:v>
                </c:pt>
                <c:pt idx="1">
                  <c:v>467794112</c:v>
                </c:pt>
                <c:pt idx="2">
                  <c:v>832783521</c:v>
                </c:pt>
                <c:pt idx="3">
                  <c:v>422683538</c:v>
                </c:pt>
                <c:pt idx="4">
                  <c:v>466957169</c:v>
                </c:pt>
                <c:pt idx="5">
                  <c:v>590589013</c:v>
                </c:pt>
                <c:pt idx="6">
                  <c:v>520322453</c:v>
                </c:pt>
                <c:pt idx="7">
                  <c:v>397081150</c:v>
                </c:pt>
                <c:pt idx="8">
                  <c:v>328793633</c:v>
                </c:pt>
                <c:pt idx="9">
                  <c:v>534649672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D2-4166-849D-B7610B176FAE}"/>
            </c:ext>
          </c:extLst>
        </c:ser>
        <c:ser>
          <c:idx val="4"/>
          <c:order val="4"/>
          <c:tx>
            <c:strRef>
              <c:f>Sheet2!$F$4:$F$5</c:f>
              <c:strCache>
                <c:ptCount val="1"/>
                <c:pt idx="0">
                  <c:v>I7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China</c:v>
                </c:pt>
                <c:pt idx="1">
                  <c:v>UK</c:v>
                </c:pt>
                <c:pt idx="2">
                  <c:v>France</c:v>
                </c:pt>
                <c:pt idx="3">
                  <c:v>India</c:v>
                </c:pt>
                <c:pt idx="4">
                  <c:v>Brazil</c:v>
                </c:pt>
                <c:pt idx="5">
                  <c:v>Australia</c:v>
                </c:pt>
                <c:pt idx="6">
                  <c:v>Germany</c:v>
                </c:pt>
                <c:pt idx="7">
                  <c:v>USA</c:v>
                </c:pt>
                <c:pt idx="8">
                  <c:v>Japan</c:v>
                </c:pt>
                <c:pt idx="9">
                  <c:v>Canada</c:v>
                </c:pt>
              </c:strCache>
            </c:strRef>
          </c:cat>
          <c:val>
            <c:numRef>
              <c:f>Sheet2!$F$6:$F$16</c:f>
              <c:numCache>
                <c:formatCode>_-[$$-409]* #,##0.00_ ;_-[$$-409]* \-#,##0.00\ ;_-[$$-409]* "-"??_ ;_-@_ </c:formatCode>
                <c:ptCount val="10"/>
                <c:pt idx="0">
                  <c:v>705819415</c:v>
                </c:pt>
                <c:pt idx="1">
                  <c:v>569370298</c:v>
                </c:pt>
                <c:pt idx="2">
                  <c:v>614472428</c:v>
                </c:pt>
                <c:pt idx="3">
                  <c:v>724598637</c:v>
                </c:pt>
                <c:pt idx="4">
                  <c:v>253283965</c:v>
                </c:pt>
                <c:pt idx="5">
                  <c:v>528987498</c:v>
                </c:pt>
                <c:pt idx="6">
                  <c:v>640143937</c:v>
                </c:pt>
                <c:pt idx="7">
                  <c:v>378083910</c:v>
                </c:pt>
                <c:pt idx="8">
                  <c:v>113161599</c:v>
                </c:pt>
                <c:pt idx="9">
                  <c:v>228944555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D2-4166-849D-B7610B176FAE}"/>
            </c:ext>
          </c:extLst>
        </c:ser>
        <c:ser>
          <c:idx val="5"/>
          <c:order val="5"/>
          <c:tx>
            <c:strRef>
              <c:f>Sheet2!$G$4:$G$5</c:f>
              <c:strCache>
                <c:ptCount val="1"/>
                <c:pt idx="0">
                  <c:v>IX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China</c:v>
                </c:pt>
                <c:pt idx="1">
                  <c:v>UK</c:v>
                </c:pt>
                <c:pt idx="2">
                  <c:v>France</c:v>
                </c:pt>
                <c:pt idx="3">
                  <c:v>India</c:v>
                </c:pt>
                <c:pt idx="4">
                  <c:v>Brazil</c:v>
                </c:pt>
                <c:pt idx="5">
                  <c:v>Australia</c:v>
                </c:pt>
                <c:pt idx="6">
                  <c:v>Germany</c:v>
                </c:pt>
                <c:pt idx="7">
                  <c:v>USA</c:v>
                </c:pt>
                <c:pt idx="8">
                  <c:v>Japan</c:v>
                </c:pt>
                <c:pt idx="9">
                  <c:v>Canada</c:v>
                </c:pt>
              </c:strCache>
            </c:strRef>
          </c:cat>
          <c:val>
            <c:numRef>
              <c:f>Sheet2!$G$6:$G$16</c:f>
              <c:numCache>
                <c:formatCode>_-[$$-409]* #,##0.00_ ;_-[$$-409]* \-#,##0.00\ ;_-[$$-409]* "-"??_ ;_-@_ </c:formatCode>
                <c:ptCount val="10"/>
                <c:pt idx="0">
                  <c:v>447131955</c:v>
                </c:pt>
                <c:pt idx="1">
                  <c:v>606171240</c:v>
                </c:pt>
                <c:pt idx="2">
                  <c:v>404928112</c:v>
                </c:pt>
                <c:pt idx="3">
                  <c:v>443397785</c:v>
                </c:pt>
                <c:pt idx="4">
                  <c:v>361294799</c:v>
                </c:pt>
                <c:pt idx="5">
                  <c:v>460948428</c:v>
                </c:pt>
                <c:pt idx="6">
                  <c:v>208961721</c:v>
                </c:pt>
                <c:pt idx="7">
                  <c:v>133185517</c:v>
                </c:pt>
                <c:pt idx="8">
                  <c:v>159468029</c:v>
                </c:pt>
                <c:pt idx="9">
                  <c:v>602592287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D2-4166-849D-B7610B176FAE}"/>
            </c:ext>
          </c:extLst>
        </c:ser>
        <c:ser>
          <c:idx val="6"/>
          <c:order val="6"/>
          <c:tx>
            <c:strRef>
              <c:f>Sheet2!$H$4:$H$5</c:f>
              <c:strCache>
                <c:ptCount val="1"/>
                <c:pt idx="0">
                  <c:v>X1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China</c:v>
                </c:pt>
                <c:pt idx="1">
                  <c:v>UK</c:v>
                </c:pt>
                <c:pt idx="2">
                  <c:v>France</c:v>
                </c:pt>
                <c:pt idx="3">
                  <c:v>India</c:v>
                </c:pt>
                <c:pt idx="4">
                  <c:v>Brazil</c:v>
                </c:pt>
                <c:pt idx="5">
                  <c:v>Australia</c:v>
                </c:pt>
                <c:pt idx="6">
                  <c:v>Germany</c:v>
                </c:pt>
                <c:pt idx="7">
                  <c:v>USA</c:v>
                </c:pt>
                <c:pt idx="8">
                  <c:v>Japan</c:v>
                </c:pt>
                <c:pt idx="9">
                  <c:v>Canada</c:v>
                </c:pt>
              </c:strCache>
            </c:strRef>
          </c:cat>
          <c:val>
            <c:numRef>
              <c:f>Sheet2!$H$6:$H$16</c:f>
              <c:numCache>
                <c:formatCode>_-[$$-409]* #,##0.00_ ;_-[$$-409]* \-#,##0.00\ ;_-[$$-409]* "-"??_ ;_-@_ </c:formatCode>
                <c:ptCount val="10"/>
                <c:pt idx="0">
                  <c:v>515971043</c:v>
                </c:pt>
                <c:pt idx="1">
                  <c:v>618721333</c:v>
                </c:pt>
                <c:pt idx="2">
                  <c:v>615877737</c:v>
                </c:pt>
                <c:pt idx="3">
                  <c:v>271312711</c:v>
                </c:pt>
                <c:pt idx="4">
                  <c:v>612733668</c:v>
                </c:pt>
                <c:pt idx="5">
                  <c:v>725473822</c:v>
                </c:pt>
                <c:pt idx="6">
                  <c:v>348797519</c:v>
                </c:pt>
                <c:pt idx="7">
                  <c:v>211400561</c:v>
                </c:pt>
                <c:pt idx="8">
                  <c:v>495923756</c:v>
                </c:pt>
                <c:pt idx="9">
                  <c:v>237599131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D2-4166-849D-B7610B176FAE}"/>
            </c:ext>
          </c:extLst>
        </c:ser>
        <c:ser>
          <c:idx val="7"/>
          <c:order val="7"/>
          <c:tx>
            <c:strRef>
              <c:f>Sheet2!$I$4:$I$5</c:f>
              <c:strCache>
                <c:ptCount val="1"/>
                <c:pt idx="0">
                  <c:v>X3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China</c:v>
                </c:pt>
                <c:pt idx="1">
                  <c:v>UK</c:v>
                </c:pt>
                <c:pt idx="2">
                  <c:v>France</c:v>
                </c:pt>
                <c:pt idx="3">
                  <c:v>India</c:v>
                </c:pt>
                <c:pt idx="4">
                  <c:v>Brazil</c:v>
                </c:pt>
                <c:pt idx="5">
                  <c:v>Australia</c:v>
                </c:pt>
                <c:pt idx="6">
                  <c:v>Germany</c:v>
                </c:pt>
                <c:pt idx="7">
                  <c:v>USA</c:v>
                </c:pt>
                <c:pt idx="8">
                  <c:v>Japan</c:v>
                </c:pt>
                <c:pt idx="9">
                  <c:v>Canada</c:v>
                </c:pt>
              </c:strCache>
            </c:strRef>
          </c:cat>
          <c:val>
            <c:numRef>
              <c:f>Sheet2!$I$6:$I$16</c:f>
              <c:numCache>
                <c:formatCode>_-[$$-409]* #,##0.00_ ;_-[$$-409]* \-#,##0.00\ ;_-[$$-409]* "-"??_ ;_-@_ </c:formatCode>
                <c:ptCount val="10"/>
                <c:pt idx="0">
                  <c:v>689114621</c:v>
                </c:pt>
                <c:pt idx="1">
                  <c:v>551825128</c:v>
                </c:pt>
                <c:pt idx="2">
                  <c:v>744270513</c:v>
                </c:pt>
                <c:pt idx="3">
                  <c:v>532901044</c:v>
                </c:pt>
                <c:pt idx="4">
                  <c:v>627126999</c:v>
                </c:pt>
                <c:pt idx="5">
                  <c:v>505685749</c:v>
                </c:pt>
                <c:pt idx="6">
                  <c:v>538401024</c:v>
                </c:pt>
                <c:pt idx="7">
                  <c:v>307824846</c:v>
                </c:pt>
                <c:pt idx="8">
                  <c:v>600840113</c:v>
                </c:pt>
                <c:pt idx="9">
                  <c:v>496529319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D2-4166-849D-B7610B176FAE}"/>
            </c:ext>
          </c:extLst>
        </c:ser>
        <c:ser>
          <c:idx val="8"/>
          <c:order val="8"/>
          <c:tx>
            <c:strRef>
              <c:f>Sheet2!$J$4:$J$5</c:f>
              <c:strCache>
                <c:ptCount val="1"/>
                <c:pt idx="0">
                  <c:v>X5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China</c:v>
                </c:pt>
                <c:pt idx="1">
                  <c:v>UK</c:v>
                </c:pt>
                <c:pt idx="2">
                  <c:v>France</c:v>
                </c:pt>
                <c:pt idx="3">
                  <c:v>India</c:v>
                </c:pt>
                <c:pt idx="4">
                  <c:v>Brazil</c:v>
                </c:pt>
                <c:pt idx="5">
                  <c:v>Australia</c:v>
                </c:pt>
                <c:pt idx="6">
                  <c:v>Germany</c:v>
                </c:pt>
                <c:pt idx="7">
                  <c:v>USA</c:v>
                </c:pt>
                <c:pt idx="8">
                  <c:v>Japan</c:v>
                </c:pt>
                <c:pt idx="9">
                  <c:v>Canada</c:v>
                </c:pt>
              </c:strCache>
            </c:strRef>
          </c:cat>
          <c:val>
            <c:numRef>
              <c:f>Sheet2!$J$6:$J$16</c:f>
              <c:numCache>
                <c:formatCode>_-[$$-409]* #,##0.00_ ;_-[$$-409]* \-#,##0.00\ ;_-[$$-409]* "-"??_ ;_-@_ </c:formatCode>
                <c:ptCount val="10"/>
                <c:pt idx="0">
                  <c:v>596875332</c:v>
                </c:pt>
                <c:pt idx="1">
                  <c:v>497603505</c:v>
                </c:pt>
                <c:pt idx="2">
                  <c:v>250246990</c:v>
                </c:pt>
                <c:pt idx="3">
                  <c:v>453558773</c:v>
                </c:pt>
                <c:pt idx="4">
                  <c:v>553482754</c:v>
                </c:pt>
                <c:pt idx="5">
                  <c:v>282790181</c:v>
                </c:pt>
                <c:pt idx="6">
                  <c:v>654303313</c:v>
                </c:pt>
                <c:pt idx="7">
                  <c:v>595927273</c:v>
                </c:pt>
                <c:pt idx="8">
                  <c:v>703352077</c:v>
                </c:pt>
                <c:pt idx="9">
                  <c:v>408840099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CD2-4166-849D-B7610B176FAE}"/>
            </c:ext>
          </c:extLst>
        </c:ser>
        <c:ser>
          <c:idx val="9"/>
          <c:order val="9"/>
          <c:tx>
            <c:strRef>
              <c:f>Sheet2!$K$4:$K$5</c:f>
              <c:strCache>
                <c:ptCount val="1"/>
                <c:pt idx="0">
                  <c:v>X7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China</c:v>
                </c:pt>
                <c:pt idx="1">
                  <c:v>UK</c:v>
                </c:pt>
                <c:pt idx="2">
                  <c:v>France</c:v>
                </c:pt>
                <c:pt idx="3">
                  <c:v>India</c:v>
                </c:pt>
                <c:pt idx="4">
                  <c:v>Brazil</c:v>
                </c:pt>
                <c:pt idx="5">
                  <c:v>Australia</c:v>
                </c:pt>
                <c:pt idx="6">
                  <c:v>Germany</c:v>
                </c:pt>
                <c:pt idx="7">
                  <c:v>USA</c:v>
                </c:pt>
                <c:pt idx="8">
                  <c:v>Japan</c:v>
                </c:pt>
                <c:pt idx="9">
                  <c:v>Canada</c:v>
                </c:pt>
              </c:strCache>
            </c:strRef>
          </c:cat>
          <c:val>
            <c:numRef>
              <c:f>Sheet2!$K$6:$K$16</c:f>
              <c:numCache>
                <c:formatCode>_-[$$-409]* #,##0.00_ ;_-[$$-409]* \-#,##0.00\ ;_-[$$-409]* "-"??_ ;_-@_ </c:formatCode>
                <c:ptCount val="10"/>
                <c:pt idx="0">
                  <c:v>532617009</c:v>
                </c:pt>
                <c:pt idx="1">
                  <c:v>610656494</c:v>
                </c:pt>
                <c:pt idx="2">
                  <c:v>297930007</c:v>
                </c:pt>
                <c:pt idx="3">
                  <c:v>442476885</c:v>
                </c:pt>
                <c:pt idx="4">
                  <c:v>374669747</c:v>
                </c:pt>
                <c:pt idx="5">
                  <c:v>177672444</c:v>
                </c:pt>
                <c:pt idx="6">
                  <c:v>341298722</c:v>
                </c:pt>
                <c:pt idx="7">
                  <c:v>734287072</c:v>
                </c:pt>
                <c:pt idx="8">
                  <c:v>450401954</c:v>
                </c:pt>
                <c:pt idx="9">
                  <c:v>245390182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CD2-4166-849D-B7610B176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7313800"/>
        <c:axId val="117132296"/>
      </c:barChart>
      <c:catAx>
        <c:axId val="537313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32296"/>
        <c:crosses val="autoZero"/>
        <c:auto val="1"/>
        <c:lblAlgn val="ctr"/>
        <c:lblOffset val="100"/>
        <c:noMultiLvlLbl val="0"/>
      </c:catAx>
      <c:valAx>
        <c:axId val="117132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Profit (in 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,,&quot;M&quot;_ ;_-[$$-409]* \-#,##0.00\ ;_-[$$-409]* &quot;-&quot;??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313800"/>
        <c:crosses val="autoZero"/>
        <c:crossBetween val="between"/>
        <c:majorUnit val="100000000"/>
        <c:minorUnit val="2500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[bmw_global_sales_dataset.xlsx]Sheet9!PivotTable4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Dealership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Sheet9!$A$60:$A$70</c:f>
              <c:strCache>
                <c:ptCount val="10"/>
                <c:pt idx="0">
                  <c:v>3 SERIES</c:v>
                </c:pt>
                <c:pt idx="1">
                  <c:v>5 SERIES</c:v>
                </c:pt>
                <c:pt idx="2">
                  <c:v>7 SERIES</c:v>
                </c:pt>
                <c:pt idx="3">
                  <c:v>I4</c:v>
                </c:pt>
                <c:pt idx="4">
                  <c:v>I7</c:v>
                </c:pt>
                <c:pt idx="5">
                  <c:v>IX</c:v>
                </c:pt>
                <c:pt idx="6">
                  <c:v>X1</c:v>
                </c:pt>
                <c:pt idx="7">
                  <c:v>X3</c:v>
                </c:pt>
                <c:pt idx="8">
                  <c:v>X5</c:v>
                </c:pt>
                <c:pt idx="9">
                  <c:v>X7</c:v>
                </c:pt>
              </c:strCache>
            </c:strRef>
          </c:cat>
          <c:val>
            <c:numRef>
              <c:f>Sheet9!$B$60:$B$70</c:f>
              <c:numCache>
                <c:formatCode>General</c:formatCode>
                <c:ptCount val="10"/>
                <c:pt idx="0">
                  <c:v>21894</c:v>
                </c:pt>
                <c:pt idx="1">
                  <c:v>17862</c:v>
                </c:pt>
                <c:pt idx="2">
                  <c:v>20571</c:v>
                </c:pt>
                <c:pt idx="3">
                  <c:v>21558</c:v>
                </c:pt>
                <c:pt idx="4">
                  <c:v>19914</c:v>
                </c:pt>
                <c:pt idx="5">
                  <c:v>16215</c:v>
                </c:pt>
                <c:pt idx="6">
                  <c:v>19361</c:v>
                </c:pt>
                <c:pt idx="7">
                  <c:v>24503</c:v>
                </c:pt>
                <c:pt idx="8">
                  <c:v>21406</c:v>
                </c:pt>
                <c:pt idx="9">
                  <c:v>16946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D-4E8F-A3CB-DEB8CAB6E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814407"/>
        <c:axId val="1403816967"/>
      </c:barChart>
      <c:catAx>
        <c:axId val="1403814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816967"/>
        <c:crosses val="autoZero"/>
        <c:auto val="1"/>
        <c:lblAlgn val="ctr"/>
        <c:lblOffset val="100"/>
        <c:noMultiLvlLbl val="0"/>
      </c:catAx>
      <c:valAx>
        <c:axId val="1403816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814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[bmw_global_sales_dataset.xlsx]Sheet9!PivotTable5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 Budget per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Sheet9!$A$77:$A$87</c:f>
              <c:strCache>
                <c:ptCount val="10"/>
                <c:pt idx="0">
                  <c:v>3 SERIES</c:v>
                </c:pt>
                <c:pt idx="1">
                  <c:v>5 SERIES</c:v>
                </c:pt>
                <c:pt idx="2">
                  <c:v>7 SERIES</c:v>
                </c:pt>
                <c:pt idx="3">
                  <c:v>I4</c:v>
                </c:pt>
                <c:pt idx="4">
                  <c:v>I7</c:v>
                </c:pt>
                <c:pt idx="5">
                  <c:v>IX</c:v>
                </c:pt>
                <c:pt idx="6">
                  <c:v>X1</c:v>
                </c:pt>
                <c:pt idx="7">
                  <c:v>X3</c:v>
                </c:pt>
                <c:pt idx="8">
                  <c:v>X5</c:v>
                </c:pt>
                <c:pt idx="9">
                  <c:v>X7</c:v>
                </c:pt>
              </c:strCache>
            </c:strRef>
          </c:cat>
          <c:val>
            <c:numRef>
              <c:f>Sheet9!$B$77:$B$87</c:f>
              <c:numCache>
                <c:formatCode>_-[$$-409]* #,##0.00_ ;_-[$$-409]* \-#,##0.00\ ;_-[$$-409]* "-"??_ ;_-@_ </c:formatCode>
                <c:ptCount val="10"/>
                <c:pt idx="0">
                  <c:v>34360655</c:v>
                </c:pt>
                <c:pt idx="1">
                  <c:v>23986122</c:v>
                </c:pt>
                <c:pt idx="2">
                  <c:v>30408487</c:v>
                </c:pt>
                <c:pt idx="3">
                  <c:v>30402994</c:v>
                </c:pt>
                <c:pt idx="4">
                  <c:v>27287325</c:v>
                </c:pt>
                <c:pt idx="5">
                  <c:v>20669058</c:v>
                </c:pt>
                <c:pt idx="6">
                  <c:v>27423094</c:v>
                </c:pt>
                <c:pt idx="7">
                  <c:v>29004984</c:v>
                </c:pt>
                <c:pt idx="8">
                  <c:v>30145846</c:v>
                </c:pt>
                <c:pt idx="9">
                  <c:v>25803665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9-4026-B0FF-CA79B8256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222087"/>
        <c:axId val="1357300231"/>
      </c:barChart>
      <c:catAx>
        <c:axId val="1354222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300231"/>
        <c:crosses val="autoZero"/>
        <c:auto val="1"/>
        <c:lblAlgn val="ctr"/>
        <c:lblOffset val="100"/>
        <c:noMultiLvlLbl val="0"/>
      </c:catAx>
      <c:valAx>
        <c:axId val="1357300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,,&quot;M&quot;_ ;_-[$$-409]* \-#,##0.00\ ;_-[$$-409]* &quot;-&quot;??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222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[bmw_global_sales_dataset.xlsx]Sheet1!PivotTable1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 proportion per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D0CECE"/>
            </a:solidFill>
            <a:ln>
              <a:solidFill>
                <a:srgbClr val="00206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46-4A0F-975B-23710F72B3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46-4A0F-975B-23710F72B3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46-4A0F-975B-23710F72B3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46-4A0F-975B-23710F72B3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046-4A0F-975B-23710F72B3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046-4A0F-975B-23710F72B3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046-4A0F-975B-23710F72B3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046-4A0F-975B-23710F72B3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046-4A0F-975B-23710F72B3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046-4A0F-975B-23710F72B3EB}"/>
              </c:ext>
            </c:extLst>
          </c:dPt>
          <c:dLbls>
            <c:spPr>
              <a:solidFill>
                <a:srgbClr val="D0CECE"/>
              </a:solidFill>
              <a:ln>
                <a:solidFill>
                  <a:srgbClr val="00206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Sheet1!$A$4:$A$14</c:f>
              <c:strCache>
                <c:ptCount val="10"/>
                <c:pt idx="0">
                  <c:v>3 SERIES</c:v>
                </c:pt>
                <c:pt idx="1">
                  <c:v>5 SERIES</c:v>
                </c:pt>
                <c:pt idx="2">
                  <c:v>7 SERIES</c:v>
                </c:pt>
                <c:pt idx="3">
                  <c:v>I4</c:v>
                </c:pt>
                <c:pt idx="4">
                  <c:v>I7</c:v>
                </c:pt>
                <c:pt idx="5">
                  <c:v>IX</c:v>
                </c:pt>
                <c:pt idx="6">
                  <c:v>X1</c:v>
                </c:pt>
                <c:pt idx="7">
                  <c:v>X3</c:v>
                </c:pt>
                <c:pt idx="8">
                  <c:v>X5</c:v>
                </c:pt>
                <c:pt idx="9">
                  <c:v>X7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70886</c:v>
                </c:pt>
                <c:pt idx="1">
                  <c:v>59144</c:v>
                </c:pt>
                <c:pt idx="2">
                  <c:v>65071</c:v>
                </c:pt>
                <c:pt idx="3">
                  <c:v>69528</c:v>
                </c:pt>
                <c:pt idx="4">
                  <c:v>63974</c:v>
                </c:pt>
                <c:pt idx="5">
                  <c:v>51067</c:v>
                </c:pt>
                <c:pt idx="6">
                  <c:v>61341</c:v>
                </c:pt>
                <c:pt idx="7">
                  <c:v>73358</c:v>
                </c:pt>
                <c:pt idx="8">
                  <c:v>65505</c:v>
                </c:pt>
                <c:pt idx="9">
                  <c:v>53318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CCC-47E9-8542-96837CEAA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[bmw_global_sales_dataset.xlsx]Sheet2!PivotTable1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Sheet2!$B$4:$B$5</c:f>
              <c:strCache>
                <c:ptCount val="1"/>
                <c:pt idx="0">
                  <c:v>3 SERIES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China</c:v>
                </c:pt>
                <c:pt idx="1">
                  <c:v>UK</c:v>
                </c:pt>
                <c:pt idx="2">
                  <c:v>France</c:v>
                </c:pt>
                <c:pt idx="3">
                  <c:v>India</c:v>
                </c:pt>
                <c:pt idx="4">
                  <c:v>Brazil</c:v>
                </c:pt>
                <c:pt idx="5">
                  <c:v>Australia</c:v>
                </c:pt>
                <c:pt idx="6">
                  <c:v>Germany</c:v>
                </c:pt>
                <c:pt idx="7">
                  <c:v>USA</c:v>
                </c:pt>
                <c:pt idx="8">
                  <c:v>Japan</c:v>
                </c:pt>
                <c:pt idx="9">
                  <c:v>Canada</c:v>
                </c:pt>
              </c:strCache>
            </c:strRef>
          </c:cat>
          <c:val>
            <c:numRef>
              <c:f>Sheet2!$B$6:$B$16</c:f>
              <c:numCache>
                <c:formatCode>_-[$$-409]* #,##0.00_ ;_-[$$-409]* \-#,##0.00\ ;_-[$$-409]* "-"??_ ;_-@_ </c:formatCode>
                <c:ptCount val="10"/>
                <c:pt idx="0">
                  <c:v>620342592</c:v>
                </c:pt>
                <c:pt idx="1">
                  <c:v>755587310</c:v>
                </c:pt>
                <c:pt idx="2">
                  <c:v>582240109</c:v>
                </c:pt>
                <c:pt idx="3">
                  <c:v>482950294</c:v>
                </c:pt>
                <c:pt idx="4">
                  <c:v>395142483</c:v>
                </c:pt>
                <c:pt idx="5">
                  <c:v>503828265</c:v>
                </c:pt>
                <c:pt idx="6">
                  <c:v>356731603</c:v>
                </c:pt>
                <c:pt idx="7">
                  <c:v>576238608</c:v>
                </c:pt>
                <c:pt idx="8">
                  <c:v>412997553</c:v>
                </c:pt>
                <c:pt idx="9">
                  <c:v>561509653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1-4567-806C-3A22934B6AB1}"/>
            </c:ext>
          </c:extLst>
        </c:ser>
        <c:ser>
          <c:idx val="1"/>
          <c:order val="1"/>
          <c:tx>
            <c:strRef>
              <c:f>Sheet2!$C$4:$C$5</c:f>
              <c:strCache>
                <c:ptCount val="1"/>
                <c:pt idx="0">
                  <c:v>5 SERIES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China</c:v>
                </c:pt>
                <c:pt idx="1">
                  <c:v>UK</c:v>
                </c:pt>
                <c:pt idx="2">
                  <c:v>France</c:v>
                </c:pt>
                <c:pt idx="3">
                  <c:v>India</c:v>
                </c:pt>
                <c:pt idx="4">
                  <c:v>Brazil</c:v>
                </c:pt>
                <c:pt idx="5">
                  <c:v>Australia</c:v>
                </c:pt>
                <c:pt idx="6">
                  <c:v>Germany</c:v>
                </c:pt>
                <c:pt idx="7">
                  <c:v>USA</c:v>
                </c:pt>
                <c:pt idx="8">
                  <c:v>Japan</c:v>
                </c:pt>
                <c:pt idx="9">
                  <c:v>Canada</c:v>
                </c:pt>
              </c:strCache>
            </c:strRef>
          </c:cat>
          <c:val>
            <c:numRef>
              <c:f>Sheet2!$C$6:$C$16</c:f>
              <c:numCache>
                <c:formatCode>_-[$$-409]* #,##0.00_ ;_-[$$-409]* \-#,##0.00\ ;_-[$$-409]* "-"??_ ;_-@_ </c:formatCode>
                <c:ptCount val="10"/>
                <c:pt idx="0">
                  <c:v>623851582</c:v>
                </c:pt>
                <c:pt idx="1">
                  <c:v>416969698</c:v>
                </c:pt>
                <c:pt idx="2">
                  <c:v>202029552</c:v>
                </c:pt>
                <c:pt idx="3">
                  <c:v>384703665</c:v>
                </c:pt>
                <c:pt idx="4">
                  <c:v>670494529</c:v>
                </c:pt>
                <c:pt idx="5">
                  <c:v>250872088</c:v>
                </c:pt>
                <c:pt idx="6">
                  <c:v>658295416</c:v>
                </c:pt>
                <c:pt idx="7">
                  <c:v>359723671</c:v>
                </c:pt>
                <c:pt idx="8">
                  <c:v>289134016</c:v>
                </c:pt>
                <c:pt idx="9">
                  <c:v>395964817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A-4621-B544-E8CB9DC8A688}"/>
            </c:ext>
          </c:extLst>
        </c:ser>
        <c:ser>
          <c:idx val="2"/>
          <c:order val="2"/>
          <c:tx>
            <c:strRef>
              <c:f>Sheet2!$D$4:$D$5</c:f>
              <c:strCache>
                <c:ptCount val="1"/>
                <c:pt idx="0">
                  <c:v>7 SERIES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China</c:v>
                </c:pt>
                <c:pt idx="1">
                  <c:v>UK</c:v>
                </c:pt>
                <c:pt idx="2">
                  <c:v>France</c:v>
                </c:pt>
                <c:pt idx="3">
                  <c:v>India</c:v>
                </c:pt>
                <c:pt idx="4">
                  <c:v>Brazil</c:v>
                </c:pt>
                <c:pt idx="5">
                  <c:v>Australia</c:v>
                </c:pt>
                <c:pt idx="6">
                  <c:v>Germany</c:v>
                </c:pt>
                <c:pt idx="7">
                  <c:v>USA</c:v>
                </c:pt>
                <c:pt idx="8">
                  <c:v>Japan</c:v>
                </c:pt>
                <c:pt idx="9">
                  <c:v>Canada</c:v>
                </c:pt>
              </c:strCache>
            </c:strRef>
          </c:cat>
          <c:val>
            <c:numRef>
              <c:f>Sheet2!$D$6:$D$16</c:f>
              <c:numCache>
                <c:formatCode>_-[$$-409]* #,##0.00_ ;_-[$$-409]* \-#,##0.00\ ;_-[$$-409]* "-"??_ ;_-@_ </c:formatCode>
                <c:ptCount val="10"/>
                <c:pt idx="0">
                  <c:v>557478300</c:v>
                </c:pt>
                <c:pt idx="1">
                  <c:v>363633619</c:v>
                </c:pt>
                <c:pt idx="2">
                  <c:v>456610101</c:v>
                </c:pt>
                <c:pt idx="3">
                  <c:v>785643998</c:v>
                </c:pt>
                <c:pt idx="4">
                  <c:v>614830112</c:v>
                </c:pt>
                <c:pt idx="5">
                  <c:v>496022398</c:v>
                </c:pt>
                <c:pt idx="6">
                  <c:v>198919927</c:v>
                </c:pt>
                <c:pt idx="7">
                  <c:v>442444500</c:v>
                </c:pt>
                <c:pt idx="8">
                  <c:v>563816344</c:v>
                </c:pt>
                <c:pt idx="9">
                  <c:v>360535789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8A-4621-B544-E8CB9DC8A688}"/>
            </c:ext>
          </c:extLst>
        </c:ser>
        <c:ser>
          <c:idx val="3"/>
          <c:order val="3"/>
          <c:tx>
            <c:strRef>
              <c:f>Sheet2!$E$4:$E$5</c:f>
              <c:strCache>
                <c:ptCount val="1"/>
                <c:pt idx="0">
                  <c:v>I4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China</c:v>
                </c:pt>
                <c:pt idx="1">
                  <c:v>UK</c:v>
                </c:pt>
                <c:pt idx="2">
                  <c:v>France</c:v>
                </c:pt>
                <c:pt idx="3">
                  <c:v>India</c:v>
                </c:pt>
                <c:pt idx="4">
                  <c:v>Brazil</c:v>
                </c:pt>
                <c:pt idx="5">
                  <c:v>Australia</c:v>
                </c:pt>
                <c:pt idx="6">
                  <c:v>Germany</c:v>
                </c:pt>
                <c:pt idx="7">
                  <c:v>USA</c:v>
                </c:pt>
                <c:pt idx="8">
                  <c:v>Japan</c:v>
                </c:pt>
                <c:pt idx="9">
                  <c:v>Canada</c:v>
                </c:pt>
              </c:strCache>
            </c:strRef>
          </c:cat>
          <c:val>
            <c:numRef>
              <c:f>Sheet2!$E$6:$E$16</c:f>
              <c:numCache>
                <c:formatCode>_-[$$-409]* #,##0.00_ ;_-[$$-409]* \-#,##0.00\ ;_-[$$-409]* "-"??_ ;_-@_ </c:formatCode>
                <c:ptCount val="10"/>
                <c:pt idx="0">
                  <c:v>750818052</c:v>
                </c:pt>
                <c:pt idx="1">
                  <c:v>467794112</c:v>
                </c:pt>
                <c:pt idx="2">
                  <c:v>832783521</c:v>
                </c:pt>
                <c:pt idx="3">
                  <c:v>422683538</c:v>
                </c:pt>
                <c:pt idx="4">
                  <c:v>466957169</c:v>
                </c:pt>
                <c:pt idx="5">
                  <c:v>590589013</c:v>
                </c:pt>
                <c:pt idx="6">
                  <c:v>520322453</c:v>
                </c:pt>
                <c:pt idx="7">
                  <c:v>397081150</c:v>
                </c:pt>
                <c:pt idx="8">
                  <c:v>328793633</c:v>
                </c:pt>
                <c:pt idx="9">
                  <c:v>534649672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8A-4621-B544-E8CB9DC8A688}"/>
            </c:ext>
          </c:extLst>
        </c:ser>
        <c:ser>
          <c:idx val="4"/>
          <c:order val="4"/>
          <c:tx>
            <c:strRef>
              <c:f>Sheet2!$F$4:$F$5</c:f>
              <c:strCache>
                <c:ptCount val="1"/>
                <c:pt idx="0">
                  <c:v>I7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China</c:v>
                </c:pt>
                <c:pt idx="1">
                  <c:v>UK</c:v>
                </c:pt>
                <c:pt idx="2">
                  <c:v>France</c:v>
                </c:pt>
                <c:pt idx="3">
                  <c:v>India</c:v>
                </c:pt>
                <c:pt idx="4">
                  <c:v>Brazil</c:v>
                </c:pt>
                <c:pt idx="5">
                  <c:v>Australia</c:v>
                </c:pt>
                <c:pt idx="6">
                  <c:v>Germany</c:v>
                </c:pt>
                <c:pt idx="7">
                  <c:v>USA</c:v>
                </c:pt>
                <c:pt idx="8">
                  <c:v>Japan</c:v>
                </c:pt>
                <c:pt idx="9">
                  <c:v>Canada</c:v>
                </c:pt>
              </c:strCache>
            </c:strRef>
          </c:cat>
          <c:val>
            <c:numRef>
              <c:f>Sheet2!$F$6:$F$16</c:f>
              <c:numCache>
                <c:formatCode>_-[$$-409]* #,##0.00_ ;_-[$$-409]* \-#,##0.00\ ;_-[$$-409]* "-"??_ ;_-@_ </c:formatCode>
                <c:ptCount val="10"/>
                <c:pt idx="0">
                  <c:v>705819415</c:v>
                </c:pt>
                <c:pt idx="1">
                  <c:v>569370298</c:v>
                </c:pt>
                <c:pt idx="2">
                  <c:v>614472428</c:v>
                </c:pt>
                <c:pt idx="3">
                  <c:v>724598637</c:v>
                </c:pt>
                <c:pt idx="4">
                  <c:v>253283965</c:v>
                </c:pt>
                <c:pt idx="5">
                  <c:v>528987498</c:v>
                </c:pt>
                <c:pt idx="6">
                  <c:v>640143937</c:v>
                </c:pt>
                <c:pt idx="7">
                  <c:v>378083910</c:v>
                </c:pt>
                <c:pt idx="8">
                  <c:v>113161599</c:v>
                </c:pt>
                <c:pt idx="9">
                  <c:v>228944555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8A-4621-B544-E8CB9DC8A688}"/>
            </c:ext>
          </c:extLst>
        </c:ser>
        <c:ser>
          <c:idx val="5"/>
          <c:order val="5"/>
          <c:tx>
            <c:strRef>
              <c:f>Sheet2!$G$4:$G$5</c:f>
              <c:strCache>
                <c:ptCount val="1"/>
                <c:pt idx="0">
                  <c:v>IX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China</c:v>
                </c:pt>
                <c:pt idx="1">
                  <c:v>UK</c:v>
                </c:pt>
                <c:pt idx="2">
                  <c:v>France</c:v>
                </c:pt>
                <c:pt idx="3">
                  <c:v>India</c:v>
                </c:pt>
                <c:pt idx="4">
                  <c:v>Brazil</c:v>
                </c:pt>
                <c:pt idx="5">
                  <c:v>Australia</c:v>
                </c:pt>
                <c:pt idx="6">
                  <c:v>Germany</c:v>
                </c:pt>
                <c:pt idx="7">
                  <c:v>USA</c:v>
                </c:pt>
                <c:pt idx="8">
                  <c:v>Japan</c:v>
                </c:pt>
                <c:pt idx="9">
                  <c:v>Canada</c:v>
                </c:pt>
              </c:strCache>
            </c:strRef>
          </c:cat>
          <c:val>
            <c:numRef>
              <c:f>Sheet2!$G$6:$G$16</c:f>
              <c:numCache>
                <c:formatCode>_-[$$-409]* #,##0.00_ ;_-[$$-409]* \-#,##0.00\ ;_-[$$-409]* "-"??_ ;_-@_ </c:formatCode>
                <c:ptCount val="10"/>
                <c:pt idx="0">
                  <c:v>447131955</c:v>
                </c:pt>
                <c:pt idx="1">
                  <c:v>606171240</c:v>
                </c:pt>
                <c:pt idx="2">
                  <c:v>404928112</c:v>
                </c:pt>
                <c:pt idx="3">
                  <c:v>443397785</c:v>
                </c:pt>
                <c:pt idx="4">
                  <c:v>361294799</c:v>
                </c:pt>
                <c:pt idx="5">
                  <c:v>460948428</c:v>
                </c:pt>
                <c:pt idx="6">
                  <c:v>208961721</c:v>
                </c:pt>
                <c:pt idx="7">
                  <c:v>133185517</c:v>
                </c:pt>
                <c:pt idx="8">
                  <c:v>159468029</c:v>
                </c:pt>
                <c:pt idx="9">
                  <c:v>602592287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8A-4621-B544-E8CB9DC8A688}"/>
            </c:ext>
          </c:extLst>
        </c:ser>
        <c:ser>
          <c:idx val="6"/>
          <c:order val="6"/>
          <c:tx>
            <c:strRef>
              <c:f>Sheet2!$H$4:$H$5</c:f>
              <c:strCache>
                <c:ptCount val="1"/>
                <c:pt idx="0">
                  <c:v>X1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China</c:v>
                </c:pt>
                <c:pt idx="1">
                  <c:v>UK</c:v>
                </c:pt>
                <c:pt idx="2">
                  <c:v>France</c:v>
                </c:pt>
                <c:pt idx="3">
                  <c:v>India</c:v>
                </c:pt>
                <c:pt idx="4">
                  <c:v>Brazil</c:v>
                </c:pt>
                <c:pt idx="5">
                  <c:v>Australia</c:v>
                </c:pt>
                <c:pt idx="6">
                  <c:v>Germany</c:v>
                </c:pt>
                <c:pt idx="7">
                  <c:v>USA</c:v>
                </c:pt>
                <c:pt idx="8">
                  <c:v>Japan</c:v>
                </c:pt>
                <c:pt idx="9">
                  <c:v>Canada</c:v>
                </c:pt>
              </c:strCache>
            </c:strRef>
          </c:cat>
          <c:val>
            <c:numRef>
              <c:f>Sheet2!$H$6:$H$16</c:f>
              <c:numCache>
                <c:formatCode>_-[$$-409]* #,##0.00_ ;_-[$$-409]* \-#,##0.00\ ;_-[$$-409]* "-"??_ ;_-@_ </c:formatCode>
                <c:ptCount val="10"/>
                <c:pt idx="0">
                  <c:v>515971043</c:v>
                </c:pt>
                <c:pt idx="1">
                  <c:v>618721333</c:v>
                </c:pt>
                <c:pt idx="2">
                  <c:v>615877737</c:v>
                </c:pt>
                <c:pt idx="3">
                  <c:v>271312711</c:v>
                </c:pt>
                <c:pt idx="4">
                  <c:v>612733668</c:v>
                </c:pt>
                <c:pt idx="5">
                  <c:v>725473822</c:v>
                </c:pt>
                <c:pt idx="6">
                  <c:v>348797519</c:v>
                </c:pt>
                <c:pt idx="7">
                  <c:v>211400561</c:v>
                </c:pt>
                <c:pt idx="8">
                  <c:v>495923756</c:v>
                </c:pt>
                <c:pt idx="9">
                  <c:v>237599131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8A-4621-B544-E8CB9DC8A688}"/>
            </c:ext>
          </c:extLst>
        </c:ser>
        <c:ser>
          <c:idx val="7"/>
          <c:order val="7"/>
          <c:tx>
            <c:strRef>
              <c:f>Sheet2!$I$4:$I$5</c:f>
              <c:strCache>
                <c:ptCount val="1"/>
                <c:pt idx="0">
                  <c:v>X3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China</c:v>
                </c:pt>
                <c:pt idx="1">
                  <c:v>UK</c:v>
                </c:pt>
                <c:pt idx="2">
                  <c:v>France</c:v>
                </c:pt>
                <c:pt idx="3">
                  <c:v>India</c:v>
                </c:pt>
                <c:pt idx="4">
                  <c:v>Brazil</c:v>
                </c:pt>
                <c:pt idx="5">
                  <c:v>Australia</c:v>
                </c:pt>
                <c:pt idx="6">
                  <c:v>Germany</c:v>
                </c:pt>
                <c:pt idx="7">
                  <c:v>USA</c:v>
                </c:pt>
                <c:pt idx="8">
                  <c:v>Japan</c:v>
                </c:pt>
                <c:pt idx="9">
                  <c:v>Canada</c:v>
                </c:pt>
              </c:strCache>
            </c:strRef>
          </c:cat>
          <c:val>
            <c:numRef>
              <c:f>Sheet2!$I$6:$I$16</c:f>
              <c:numCache>
                <c:formatCode>_-[$$-409]* #,##0.00_ ;_-[$$-409]* \-#,##0.00\ ;_-[$$-409]* "-"??_ ;_-@_ </c:formatCode>
                <c:ptCount val="10"/>
                <c:pt idx="0">
                  <c:v>689114621</c:v>
                </c:pt>
                <c:pt idx="1">
                  <c:v>551825128</c:v>
                </c:pt>
                <c:pt idx="2">
                  <c:v>744270513</c:v>
                </c:pt>
                <c:pt idx="3">
                  <c:v>532901044</c:v>
                </c:pt>
                <c:pt idx="4">
                  <c:v>627126999</c:v>
                </c:pt>
                <c:pt idx="5">
                  <c:v>505685749</c:v>
                </c:pt>
                <c:pt idx="6">
                  <c:v>538401024</c:v>
                </c:pt>
                <c:pt idx="7">
                  <c:v>307824846</c:v>
                </c:pt>
                <c:pt idx="8">
                  <c:v>600840113</c:v>
                </c:pt>
                <c:pt idx="9">
                  <c:v>496529319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8A-4621-B544-E8CB9DC8A688}"/>
            </c:ext>
          </c:extLst>
        </c:ser>
        <c:ser>
          <c:idx val="8"/>
          <c:order val="8"/>
          <c:tx>
            <c:strRef>
              <c:f>Sheet2!$J$4:$J$5</c:f>
              <c:strCache>
                <c:ptCount val="1"/>
                <c:pt idx="0">
                  <c:v>X5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China</c:v>
                </c:pt>
                <c:pt idx="1">
                  <c:v>UK</c:v>
                </c:pt>
                <c:pt idx="2">
                  <c:v>France</c:v>
                </c:pt>
                <c:pt idx="3">
                  <c:v>India</c:v>
                </c:pt>
                <c:pt idx="4">
                  <c:v>Brazil</c:v>
                </c:pt>
                <c:pt idx="5">
                  <c:v>Australia</c:v>
                </c:pt>
                <c:pt idx="6">
                  <c:v>Germany</c:v>
                </c:pt>
                <c:pt idx="7">
                  <c:v>USA</c:v>
                </c:pt>
                <c:pt idx="8">
                  <c:v>Japan</c:v>
                </c:pt>
                <c:pt idx="9">
                  <c:v>Canada</c:v>
                </c:pt>
              </c:strCache>
            </c:strRef>
          </c:cat>
          <c:val>
            <c:numRef>
              <c:f>Sheet2!$J$6:$J$16</c:f>
              <c:numCache>
                <c:formatCode>_-[$$-409]* #,##0.00_ ;_-[$$-409]* \-#,##0.00\ ;_-[$$-409]* "-"??_ ;_-@_ </c:formatCode>
                <c:ptCount val="10"/>
                <c:pt idx="0">
                  <c:v>596875332</c:v>
                </c:pt>
                <c:pt idx="1">
                  <c:v>497603505</c:v>
                </c:pt>
                <c:pt idx="2">
                  <c:v>250246990</c:v>
                </c:pt>
                <c:pt idx="3">
                  <c:v>453558773</c:v>
                </c:pt>
                <c:pt idx="4">
                  <c:v>553482754</c:v>
                </c:pt>
                <c:pt idx="5">
                  <c:v>282790181</c:v>
                </c:pt>
                <c:pt idx="6">
                  <c:v>654303313</c:v>
                </c:pt>
                <c:pt idx="7">
                  <c:v>595927273</c:v>
                </c:pt>
                <c:pt idx="8">
                  <c:v>703352077</c:v>
                </c:pt>
                <c:pt idx="9">
                  <c:v>408840099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C8A-4621-B544-E8CB9DC8A688}"/>
            </c:ext>
          </c:extLst>
        </c:ser>
        <c:ser>
          <c:idx val="9"/>
          <c:order val="9"/>
          <c:tx>
            <c:strRef>
              <c:f>Sheet2!$K$4:$K$5</c:f>
              <c:strCache>
                <c:ptCount val="1"/>
                <c:pt idx="0">
                  <c:v>X7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Sheet2!$A$6:$A$16</c:f>
              <c:strCache>
                <c:ptCount val="10"/>
                <c:pt idx="0">
                  <c:v>China</c:v>
                </c:pt>
                <c:pt idx="1">
                  <c:v>UK</c:v>
                </c:pt>
                <c:pt idx="2">
                  <c:v>France</c:v>
                </c:pt>
                <c:pt idx="3">
                  <c:v>India</c:v>
                </c:pt>
                <c:pt idx="4">
                  <c:v>Brazil</c:v>
                </c:pt>
                <c:pt idx="5">
                  <c:v>Australia</c:v>
                </c:pt>
                <c:pt idx="6">
                  <c:v>Germany</c:v>
                </c:pt>
                <c:pt idx="7">
                  <c:v>USA</c:v>
                </c:pt>
                <c:pt idx="8">
                  <c:v>Japan</c:v>
                </c:pt>
                <c:pt idx="9">
                  <c:v>Canada</c:v>
                </c:pt>
              </c:strCache>
            </c:strRef>
          </c:cat>
          <c:val>
            <c:numRef>
              <c:f>Sheet2!$K$6:$K$16</c:f>
              <c:numCache>
                <c:formatCode>_-[$$-409]* #,##0.00_ ;_-[$$-409]* \-#,##0.00\ ;_-[$$-409]* "-"??_ ;_-@_ </c:formatCode>
                <c:ptCount val="10"/>
                <c:pt idx="0">
                  <c:v>532617009</c:v>
                </c:pt>
                <c:pt idx="1">
                  <c:v>610656494</c:v>
                </c:pt>
                <c:pt idx="2">
                  <c:v>297930007</c:v>
                </c:pt>
                <c:pt idx="3">
                  <c:v>442476885</c:v>
                </c:pt>
                <c:pt idx="4">
                  <c:v>374669747</c:v>
                </c:pt>
                <c:pt idx="5">
                  <c:v>177672444</c:v>
                </c:pt>
                <c:pt idx="6">
                  <c:v>341298722</c:v>
                </c:pt>
                <c:pt idx="7">
                  <c:v>734287072</c:v>
                </c:pt>
                <c:pt idx="8">
                  <c:v>450401954</c:v>
                </c:pt>
                <c:pt idx="9">
                  <c:v>245390182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8A-4621-B544-E8CB9DC8A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7313800"/>
        <c:axId val="117132296"/>
      </c:barChart>
      <c:catAx>
        <c:axId val="537313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32296"/>
        <c:crosses val="autoZero"/>
        <c:auto val="1"/>
        <c:lblAlgn val="ctr"/>
        <c:lblOffset val="100"/>
        <c:noMultiLvlLbl val="0"/>
      </c:catAx>
      <c:valAx>
        <c:axId val="117132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Profit (in 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313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[bmw_global_sales_dataset.xlsx]Sheet4!PivotTable1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_-[$$-409]* #,##0.00_ ;_-[$$-409]* \-#,##0.00\ ;_-[$$-409]* "-"??_ ;_-@_ </c:formatCode>
                <c:ptCount val="12"/>
                <c:pt idx="0">
                  <c:v>4040404489</c:v>
                </c:pt>
                <c:pt idx="1">
                  <c:v>4658820976</c:v>
                </c:pt>
                <c:pt idx="2">
                  <c:v>3984022388</c:v>
                </c:pt>
                <c:pt idx="3">
                  <c:v>3211902389</c:v>
                </c:pt>
                <c:pt idx="4">
                  <c:v>3790027995</c:v>
                </c:pt>
                <c:pt idx="5">
                  <c:v>3703459467</c:v>
                </c:pt>
                <c:pt idx="6">
                  <c:v>3745579882</c:v>
                </c:pt>
                <c:pt idx="7">
                  <c:v>3935024568</c:v>
                </c:pt>
                <c:pt idx="8">
                  <c:v>3764483821</c:v>
                </c:pt>
                <c:pt idx="9">
                  <c:v>3766028345</c:v>
                </c:pt>
                <c:pt idx="10">
                  <c:v>4299379444</c:v>
                </c:pt>
                <c:pt idx="11">
                  <c:v>4790538706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C-45E5-85E4-DE6461B8F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6899463"/>
        <c:axId val="266909191"/>
      </c:barChart>
      <c:catAx>
        <c:axId val="266899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909191"/>
        <c:crosses val="autoZero"/>
        <c:auto val="1"/>
        <c:lblAlgn val="ctr"/>
        <c:lblOffset val="100"/>
        <c:noMultiLvlLbl val="0"/>
      </c:catAx>
      <c:valAx>
        <c:axId val="266909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899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[bmw_global_sales_dataset.xlsx]Sheet4!PivotTable1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_-[$$-409]* #,##0.00_ ;_-[$$-409]* \-#,##0.00\ ;_-[$$-409]* "-"??_ ;_-@_ </c:formatCode>
                <c:ptCount val="12"/>
                <c:pt idx="0">
                  <c:v>4040404489</c:v>
                </c:pt>
                <c:pt idx="1">
                  <c:v>4658820976</c:v>
                </c:pt>
                <c:pt idx="2">
                  <c:v>3984022388</c:v>
                </c:pt>
                <c:pt idx="3">
                  <c:v>3211902389</c:v>
                </c:pt>
                <c:pt idx="4">
                  <c:v>3790027995</c:v>
                </c:pt>
                <c:pt idx="5">
                  <c:v>3703459467</c:v>
                </c:pt>
                <c:pt idx="6">
                  <c:v>3745579882</c:v>
                </c:pt>
                <c:pt idx="7">
                  <c:v>3935024568</c:v>
                </c:pt>
                <c:pt idx="8">
                  <c:v>3764483821</c:v>
                </c:pt>
                <c:pt idx="9">
                  <c:v>3766028345</c:v>
                </c:pt>
                <c:pt idx="10">
                  <c:v>4299379444</c:v>
                </c:pt>
                <c:pt idx="11">
                  <c:v>4790538706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16-401A-8BC9-3B07F141A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665287"/>
        <c:axId val="270269959"/>
      </c:lineChart>
      <c:catAx>
        <c:axId val="269665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269959"/>
        <c:crosses val="autoZero"/>
        <c:auto val="1"/>
        <c:lblAlgn val="ctr"/>
        <c:lblOffset val="100"/>
        <c:noMultiLvlLbl val="0"/>
      </c:catAx>
      <c:valAx>
        <c:axId val="270269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665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[bmw_global_sales_dataset.xlsx]Sheet9!PivotTable1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Marketing spend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Sheet9!$A$4:$A$14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Sheet9!$B$4:$B$14</c:f>
              <c:numCache>
                <c:formatCode>_-[$$-409]* #,##0.00_ ;_-[$$-409]* \-#,##0.00\ ;_-[$$-409]* "-"??_ ;_-@_ </c:formatCode>
                <c:ptCount val="10"/>
                <c:pt idx="0">
                  <c:v>33687210</c:v>
                </c:pt>
                <c:pt idx="1">
                  <c:v>21380293</c:v>
                </c:pt>
                <c:pt idx="2">
                  <c:v>29982491</c:v>
                </c:pt>
                <c:pt idx="3">
                  <c:v>28848190</c:v>
                </c:pt>
                <c:pt idx="4">
                  <c:v>28009015</c:v>
                </c:pt>
                <c:pt idx="5">
                  <c:v>26846112</c:v>
                </c:pt>
                <c:pt idx="6">
                  <c:v>24563472</c:v>
                </c:pt>
                <c:pt idx="7">
                  <c:v>28138507</c:v>
                </c:pt>
                <c:pt idx="8">
                  <c:v>26784146</c:v>
                </c:pt>
                <c:pt idx="9">
                  <c:v>31252794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B7-4C06-ABFA-4AE6FECEA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866312"/>
        <c:axId val="176868360"/>
      </c:lineChart>
      <c:catAx>
        <c:axId val="176866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68360"/>
        <c:crosses val="autoZero"/>
        <c:auto val="1"/>
        <c:lblAlgn val="ctr"/>
        <c:lblOffset val="100"/>
        <c:noMultiLvlLbl val="0"/>
      </c:catAx>
      <c:valAx>
        <c:axId val="176868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,,&quot;M&quot;_ ;_-[$$-409]* \-#,##0.00\ ;_-[$$-409]* &quot;-&quot;??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66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[bmw_global_sales_dataset.xlsx]Sheet9!PivotTable2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 spend vs Year and fuel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Sheet9!$B$21:$B$22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Sheet9!$A$23:$A$33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Sheet9!$B$23:$B$33</c:f>
              <c:numCache>
                <c:formatCode>_-[$$-409]* #,##0.00_ ;_-[$$-409]* \-#,##0.00\ ;_-[$$-409]* "-"??_ ;_-@_ </c:formatCode>
                <c:ptCount val="10"/>
                <c:pt idx="0">
                  <c:v>10125806</c:v>
                </c:pt>
                <c:pt idx="1">
                  <c:v>4815206</c:v>
                </c:pt>
                <c:pt idx="2">
                  <c:v>6101787</c:v>
                </c:pt>
                <c:pt idx="3">
                  <c:v>5291554</c:v>
                </c:pt>
                <c:pt idx="4">
                  <c:v>6467120</c:v>
                </c:pt>
                <c:pt idx="5">
                  <c:v>8197239</c:v>
                </c:pt>
                <c:pt idx="6">
                  <c:v>7260594</c:v>
                </c:pt>
                <c:pt idx="7">
                  <c:v>7338013</c:v>
                </c:pt>
                <c:pt idx="8">
                  <c:v>6755144</c:v>
                </c:pt>
                <c:pt idx="9">
                  <c:v>4774353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8-428C-8A1C-54E136E23BAE}"/>
            </c:ext>
          </c:extLst>
        </c:ser>
        <c:ser>
          <c:idx val="1"/>
          <c:order val="1"/>
          <c:tx>
            <c:strRef>
              <c:f>Sheet9!$C$21:$C$22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Sheet9!$A$23:$A$33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Sheet9!$C$23:$C$33</c:f>
              <c:numCache>
                <c:formatCode>_-[$$-409]* #,##0.00_ ;_-[$$-409]* \-#,##0.00\ ;_-[$$-409]* "-"??_ ;_-@_ </c:formatCode>
                <c:ptCount val="10"/>
                <c:pt idx="0">
                  <c:v>6620489</c:v>
                </c:pt>
                <c:pt idx="1">
                  <c:v>7126587</c:v>
                </c:pt>
                <c:pt idx="2">
                  <c:v>8770123</c:v>
                </c:pt>
                <c:pt idx="3">
                  <c:v>8780038</c:v>
                </c:pt>
                <c:pt idx="4">
                  <c:v>8239745</c:v>
                </c:pt>
                <c:pt idx="5">
                  <c:v>6636990</c:v>
                </c:pt>
                <c:pt idx="6">
                  <c:v>5225687</c:v>
                </c:pt>
                <c:pt idx="7">
                  <c:v>6509163</c:v>
                </c:pt>
                <c:pt idx="8">
                  <c:v>7955751</c:v>
                </c:pt>
                <c:pt idx="9">
                  <c:v>10301147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730-4CE0-886B-C40B809D30C6}"/>
            </c:ext>
          </c:extLst>
        </c:ser>
        <c:ser>
          <c:idx val="2"/>
          <c:order val="2"/>
          <c:tx>
            <c:strRef>
              <c:f>Sheet9!$D$21:$D$22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Sheet9!$A$23:$A$33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Sheet9!$D$23:$D$33</c:f>
              <c:numCache>
                <c:formatCode>_-[$$-409]* #,##0.00_ ;_-[$$-409]* \-#,##0.00\ ;_-[$$-409]* "-"??_ ;_-@_ </c:formatCode>
                <c:ptCount val="10"/>
                <c:pt idx="0">
                  <c:v>9712598</c:v>
                </c:pt>
                <c:pt idx="1">
                  <c:v>5502975</c:v>
                </c:pt>
                <c:pt idx="2">
                  <c:v>8240302</c:v>
                </c:pt>
                <c:pt idx="3">
                  <c:v>6468781</c:v>
                </c:pt>
                <c:pt idx="4">
                  <c:v>5723547</c:v>
                </c:pt>
                <c:pt idx="5">
                  <c:v>5858077</c:v>
                </c:pt>
                <c:pt idx="6">
                  <c:v>4681258</c:v>
                </c:pt>
                <c:pt idx="7">
                  <c:v>8415170</c:v>
                </c:pt>
                <c:pt idx="8">
                  <c:v>6513775</c:v>
                </c:pt>
                <c:pt idx="9">
                  <c:v>8564336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730-4CE0-886B-C40B809D30C6}"/>
            </c:ext>
          </c:extLst>
        </c:ser>
        <c:ser>
          <c:idx val="3"/>
          <c:order val="3"/>
          <c:tx>
            <c:strRef>
              <c:f>Sheet9!$E$21:$E$22</c:f>
              <c:strCache>
                <c:ptCount val="1"/>
                <c:pt idx="0">
                  <c:v>Petrol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Sheet9!$A$23:$A$33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Sheet9!$E$23:$E$33</c:f>
              <c:numCache>
                <c:formatCode>_-[$$-409]* #,##0.00_ ;_-[$$-409]* \-#,##0.00\ ;_-[$$-409]* "-"??_ ;_-@_ </c:formatCode>
                <c:ptCount val="10"/>
                <c:pt idx="0">
                  <c:v>7228317</c:v>
                </c:pt>
                <c:pt idx="1">
                  <c:v>3935525</c:v>
                </c:pt>
                <c:pt idx="2">
                  <c:v>6870279</c:v>
                </c:pt>
                <c:pt idx="3">
                  <c:v>8307817</c:v>
                </c:pt>
                <c:pt idx="4">
                  <c:v>7578603</c:v>
                </c:pt>
                <c:pt idx="5">
                  <c:v>6153806</c:v>
                </c:pt>
                <c:pt idx="6">
                  <c:v>7395933</c:v>
                </c:pt>
                <c:pt idx="7">
                  <c:v>5876161</c:v>
                </c:pt>
                <c:pt idx="8">
                  <c:v>5559476</c:v>
                </c:pt>
                <c:pt idx="9">
                  <c:v>7612958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730-4CE0-886B-C40B809D3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3912328"/>
        <c:axId val="904317959"/>
      </c:barChart>
      <c:catAx>
        <c:axId val="2113912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317959"/>
        <c:crosses val="autoZero"/>
        <c:auto val="1"/>
        <c:lblAlgn val="ctr"/>
        <c:lblOffset val="100"/>
        <c:noMultiLvlLbl val="0"/>
      </c:catAx>
      <c:valAx>
        <c:axId val="904317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,,&quot;M&quot;\ ;_-[$$-409]* \-#,##0.00\ ;_-[$$-409]* &quot;-&quot;??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912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[bmw_global_sales_dataset.xlsx]Sheet9!PivotTable3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revenue vs Year and Fuel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Sheet9!$B$38:$B$39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Sheet9!$A$40:$A$50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Sheet9!$B$40:$B$50</c:f>
              <c:numCache>
                <c:formatCode>_-[$$-409]* #,##0.00_ ;_-[$$-409]* \-#,##0.00\ ;_-[$$-409]* "-"??_ ;_-@_ </c:formatCode>
                <c:ptCount val="10"/>
                <c:pt idx="0">
                  <c:v>1512165598</c:v>
                </c:pt>
                <c:pt idx="1">
                  <c:v>971679137</c:v>
                </c:pt>
                <c:pt idx="2">
                  <c:v>1129143874</c:v>
                </c:pt>
                <c:pt idx="3">
                  <c:v>901596886</c:v>
                </c:pt>
                <c:pt idx="4">
                  <c:v>1140756993</c:v>
                </c:pt>
                <c:pt idx="5">
                  <c:v>1526274771</c:v>
                </c:pt>
                <c:pt idx="6">
                  <c:v>1170748420</c:v>
                </c:pt>
                <c:pt idx="7">
                  <c:v>1173699787</c:v>
                </c:pt>
                <c:pt idx="8">
                  <c:v>1205139555</c:v>
                </c:pt>
                <c:pt idx="9">
                  <c:v>1012966846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0-4FF6-8FFA-5C58A0C6479F}"/>
            </c:ext>
          </c:extLst>
        </c:ser>
        <c:ser>
          <c:idx val="1"/>
          <c:order val="1"/>
          <c:tx>
            <c:strRef>
              <c:f>Sheet9!$C$38:$C$39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Sheet9!$A$40:$A$50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Sheet9!$C$40:$C$50</c:f>
              <c:numCache>
                <c:formatCode>_-[$$-409]* #,##0.00_ ;_-[$$-409]* \-#,##0.00\ ;_-[$$-409]* "-"??_ ;_-@_ </c:formatCode>
                <c:ptCount val="10"/>
                <c:pt idx="0">
                  <c:v>1090740732</c:v>
                </c:pt>
                <c:pt idx="1">
                  <c:v>1174316212</c:v>
                </c:pt>
                <c:pt idx="2">
                  <c:v>1244704321</c:v>
                </c:pt>
                <c:pt idx="3">
                  <c:v>1258767077</c:v>
                </c:pt>
                <c:pt idx="4">
                  <c:v>1294939483</c:v>
                </c:pt>
                <c:pt idx="5">
                  <c:v>1061918550</c:v>
                </c:pt>
                <c:pt idx="6">
                  <c:v>1144375528</c:v>
                </c:pt>
                <c:pt idx="7">
                  <c:v>1169399064</c:v>
                </c:pt>
                <c:pt idx="8">
                  <c:v>1419647397</c:v>
                </c:pt>
                <c:pt idx="9">
                  <c:v>1820154415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01B-48B0-AE32-623D0D276D81}"/>
            </c:ext>
          </c:extLst>
        </c:ser>
        <c:ser>
          <c:idx val="2"/>
          <c:order val="2"/>
          <c:tx>
            <c:strRef>
              <c:f>Sheet9!$D$38:$D$39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Sheet9!$A$40:$A$50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Sheet9!$D$40:$D$50</c:f>
              <c:numCache>
                <c:formatCode>_-[$$-409]* #,##0.00_ ;_-[$$-409]* \-#,##0.00\ ;_-[$$-409]* "-"??_ ;_-@_ </c:formatCode>
                <c:ptCount val="10"/>
                <c:pt idx="0">
                  <c:v>1618277082</c:v>
                </c:pt>
                <c:pt idx="1">
                  <c:v>1123503599</c:v>
                </c:pt>
                <c:pt idx="2">
                  <c:v>1541391857</c:v>
                </c:pt>
                <c:pt idx="3">
                  <c:v>796908749</c:v>
                </c:pt>
                <c:pt idx="4">
                  <c:v>1130377865</c:v>
                </c:pt>
                <c:pt idx="5">
                  <c:v>981601630</c:v>
                </c:pt>
                <c:pt idx="6">
                  <c:v>1000611454</c:v>
                </c:pt>
                <c:pt idx="7">
                  <c:v>1408320318</c:v>
                </c:pt>
                <c:pt idx="8">
                  <c:v>967774429</c:v>
                </c:pt>
                <c:pt idx="9">
                  <c:v>1104717001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01B-48B0-AE32-623D0D276D81}"/>
            </c:ext>
          </c:extLst>
        </c:ser>
        <c:ser>
          <c:idx val="3"/>
          <c:order val="3"/>
          <c:tx>
            <c:strRef>
              <c:f>Sheet9!$E$38:$E$39</c:f>
              <c:strCache>
                <c:ptCount val="1"/>
                <c:pt idx="0">
                  <c:v>Petrol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Sheet9!$A$40:$A$50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Sheet9!$E$40:$E$50</c:f>
              <c:numCache>
                <c:formatCode>_-[$$-409]* #,##0.00_ ;_-[$$-409]* \-#,##0.00\ ;_-[$$-409]* "-"??_ ;_-@_ </c:formatCode>
                <c:ptCount val="10"/>
                <c:pt idx="0">
                  <c:v>1531753731</c:v>
                </c:pt>
                <c:pt idx="1">
                  <c:v>692162755</c:v>
                </c:pt>
                <c:pt idx="2">
                  <c:v>1475800448</c:v>
                </c:pt>
                <c:pt idx="3">
                  <c:v>1354046554</c:v>
                </c:pt>
                <c:pt idx="4">
                  <c:v>1493419028</c:v>
                </c:pt>
                <c:pt idx="5">
                  <c:v>1046703772</c:v>
                </c:pt>
                <c:pt idx="6">
                  <c:v>1216006056</c:v>
                </c:pt>
                <c:pt idx="7">
                  <c:v>802059818</c:v>
                </c:pt>
                <c:pt idx="8">
                  <c:v>793745305</c:v>
                </c:pt>
                <c:pt idx="9">
                  <c:v>1187356373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01B-48B0-AE32-623D0D276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1463816"/>
        <c:axId val="1281465864"/>
      </c:barChart>
      <c:catAx>
        <c:axId val="1281463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65864"/>
        <c:crosses val="autoZero"/>
        <c:auto val="1"/>
        <c:lblAlgn val="ctr"/>
        <c:lblOffset val="100"/>
        <c:noMultiLvlLbl val="0"/>
      </c:catAx>
      <c:valAx>
        <c:axId val="1281465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,,&quot;M&quot;_ ;_-[$$-409]* \-#,##0.00\ ;_-[$$-409]* &quot;-&quot;??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63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[bmw_global_sales_dataset.xlsx]Sheet9!PivotTable4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Sheet9!$A$60:$A$70</c:f>
              <c:strCache>
                <c:ptCount val="10"/>
                <c:pt idx="0">
                  <c:v>3 SERIES</c:v>
                </c:pt>
                <c:pt idx="1">
                  <c:v>5 SERIES</c:v>
                </c:pt>
                <c:pt idx="2">
                  <c:v>7 SERIES</c:v>
                </c:pt>
                <c:pt idx="3">
                  <c:v>I4</c:v>
                </c:pt>
                <c:pt idx="4">
                  <c:v>I7</c:v>
                </c:pt>
                <c:pt idx="5">
                  <c:v>IX</c:v>
                </c:pt>
                <c:pt idx="6">
                  <c:v>X1</c:v>
                </c:pt>
                <c:pt idx="7">
                  <c:v>X3</c:v>
                </c:pt>
                <c:pt idx="8">
                  <c:v>X5</c:v>
                </c:pt>
                <c:pt idx="9">
                  <c:v>X7</c:v>
                </c:pt>
              </c:strCache>
            </c:strRef>
          </c:cat>
          <c:val>
            <c:numRef>
              <c:f>Sheet9!$B$60:$B$70</c:f>
              <c:numCache>
                <c:formatCode>General</c:formatCode>
                <c:ptCount val="10"/>
                <c:pt idx="0">
                  <c:v>21894</c:v>
                </c:pt>
                <c:pt idx="1">
                  <c:v>17862</c:v>
                </c:pt>
                <c:pt idx="2">
                  <c:v>20571</c:v>
                </c:pt>
                <c:pt idx="3">
                  <c:v>21558</c:v>
                </c:pt>
                <c:pt idx="4">
                  <c:v>19914</c:v>
                </c:pt>
                <c:pt idx="5">
                  <c:v>16215</c:v>
                </c:pt>
                <c:pt idx="6">
                  <c:v>19361</c:v>
                </c:pt>
                <c:pt idx="7">
                  <c:v>24503</c:v>
                </c:pt>
                <c:pt idx="8">
                  <c:v>21406</c:v>
                </c:pt>
                <c:pt idx="9">
                  <c:v>16946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8-48E1-AA4E-CC5ED5CCB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814407"/>
        <c:axId val="1403816967"/>
      </c:barChart>
      <c:catAx>
        <c:axId val="1403814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816967"/>
        <c:crosses val="autoZero"/>
        <c:auto val="1"/>
        <c:lblAlgn val="ctr"/>
        <c:lblOffset val="100"/>
        <c:noMultiLvlLbl val="0"/>
      </c:catAx>
      <c:valAx>
        <c:axId val="1403816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814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[bmw_global_sales_dataset.xlsx]Sheet9!PivotTable5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 Budget per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Sheet9!$A$77:$A$87</c:f>
              <c:strCache>
                <c:ptCount val="10"/>
                <c:pt idx="0">
                  <c:v>3 SERIES</c:v>
                </c:pt>
                <c:pt idx="1">
                  <c:v>5 SERIES</c:v>
                </c:pt>
                <c:pt idx="2">
                  <c:v>7 SERIES</c:v>
                </c:pt>
                <c:pt idx="3">
                  <c:v>I4</c:v>
                </c:pt>
                <c:pt idx="4">
                  <c:v>I7</c:v>
                </c:pt>
                <c:pt idx="5">
                  <c:v>IX</c:v>
                </c:pt>
                <c:pt idx="6">
                  <c:v>X1</c:v>
                </c:pt>
                <c:pt idx="7">
                  <c:v>X3</c:v>
                </c:pt>
                <c:pt idx="8">
                  <c:v>X5</c:v>
                </c:pt>
                <c:pt idx="9">
                  <c:v>X7</c:v>
                </c:pt>
              </c:strCache>
            </c:strRef>
          </c:cat>
          <c:val>
            <c:numRef>
              <c:f>Sheet9!$B$77:$B$87</c:f>
              <c:numCache>
                <c:formatCode>_-[$$-409]* #,##0.00_ ;_-[$$-409]* \-#,##0.00\ ;_-[$$-409]* "-"??_ ;_-@_ </c:formatCode>
                <c:ptCount val="10"/>
                <c:pt idx="0">
                  <c:v>34360655</c:v>
                </c:pt>
                <c:pt idx="1">
                  <c:v>23986122</c:v>
                </c:pt>
                <c:pt idx="2">
                  <c:v>30408487</c:v>
                </c:pt>
                <c:pt idx="3">
                  <c:v>30402994</c:v>
                </c:pt>
                <c:pt idx="4">
                  <c:v>27287325</c:v>
                </c:pt>
                <c:pt idx="5">
                  <c:v>20669058</c:v>
                </c:pt>
                <c:pt idx="6">
                  <c:v>27423094</c:v>
                </c:pt>
                <c:pt idx="7">
                  <c:v>29004984</c:v>
                </c:pt>
                <c:pt idx="8">
                  <c:v>30145846</c:v>
                </c:pt>
                <c:pt idx="9">
                  <c:v>25803665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2-47C8-B830-65B872F20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222087"/>
        <c:axId val="1357300231"/>
      </c:barChart>
      <c:catAx>
        <c:axId val="1354222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300231"/>
        <c:crosses val="autoZero"/>
        <c:auto val="1"/>
        <c:lblAlgn val="ctr"/>
        <c:lblOffset val="100"/>
        <c:noMultiLvlLbl val="0"/>
      </c:catAx>
      <c:valAx>
        <c:axId val="1357300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,,&quot;M&quot;_ ;_-[$$-409]* \-#,##0.00\ ;_-[$$-409]* &quot;-&quot;??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222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51</xdr:row>
      <xdr:rowOff>19050</xdr:rowOff>
    </xdr:from>
    <xdr:to>
      <xdr:col>4</xdr:col>
      <xdr:colOff>257175</xdr:colOff>
      <xdr:row>65</xdr:row>
      <xdr:rowOff>47625</xdr:rowOff>
    </xdr:to>
    <xdr:graphicFrame macro="">
      <xdr:nvGraphicFramePr>
        <xdr:cNvPr id="14" name="Chart 6">
          <a:extLst>
            <a:ext uri="{FF2B5EF4-FFF2-40B4-BE49-F238E27FC236}">
              <a16:creationId xmlns:a16="http://schemas.microsoft.com/office/drawing/2014/main" id="{E7EA681B-0584-4637-BAE3-1D7586947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400050</xdr:colOff>
      <xdr:row>4</xdr:row>
      <xdr:rowOff>66675</xdr:rowOff>
    </xdr:from>
    <xdr:to>
      <xdr:col>8</xdr:col>
      <xdr:colOff>247650</xdr:colOff>
      <xdr:row>17</xdr:row>
      <xdr:rowOff>180975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4C2FAC1E-6A7E-4AA6-9D77-22DC05439D41}"/>
            </a:ext>
            <a:ext uri="{147F2762-F138-4A5C-976F-8EAC2B608ADB}">
              <a16:predDERef xmlns:a16="http://schemas.microsoft.com/office/drawing/2014/main" pred="{E7EA681B-0584-4637-BAE3-1D7586947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781050</xdr:colOff>
      <xdr:row>34</xdr:row>
      <xdr:rowOff>161925</xdr:rowOff>
    </xdr:from>
    <xdr:to>
      <xdr:col>8</xdr:col>
      <xdr:colOff>276225</xdr:colOff>
      <xdr:row>50</xdr:row>
      <xdr:rowOff>123825</xdr:rowOff>
    </xdr:to>
    <xdr:graphicFrame macro="">
      <xdr:nvGraphicFramePr>
        <xdr:cNvPr id="5" name="Chart 8">
          <a:extLst>
            <a:ext uri="{FF2B5EF4-FFF2-40B4-BE49-F238E27FC236}">
              <a16:creationId xmlns:a16="http://schemas.microsoft.com/office/drawing/2014/main" id="{7CE2F5F0-E254-459D-BD14-F6DBC13BA8F3}"/>
            </a:ext>
            <a:ext uri="{147F2762-F138-4A5C-976F-8EAC2B608ADB}">
              <a16:predDERef xmlns:a16="http://schemas.microsoft.com/office/drawing/2014/main" pred="{4C2FAC1E-6A7E-4AA6-9D77-22DC05439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371475</xdr:colOff>
      <xdr:row>4</xdr:row>
      <xdr:rowOff>76200</xdr:rowOff>
    </xdr:from>
    <xdr:to>
      <xdr:col>9</xdr:col>
      <xdr:colOff>1076325</xdr:colOff>
      <xdr:row>12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odel 2">
              <a:extLst>
                <a:ext uri="{FF2B5EF4-FFF2-40B4-BE49-F238E27FC236}">
                  <a16:creationId xmlns:a16="http://schemas.microsoft.com/office/drawing/2014/main" id="{360FC722-BBA8-0AC3-7D71-106A6E956D0A}"/>
                </a:ext>
                <a:ext uri="{147F2762-F138-4A5C-976F-8EAC2B608ADB}">
                  <a16:predDERef xmlns:a16="http://schemas.microsoft.com/office/drawing/2014/main" pred="{7CE2F5F0-E254-459D-BD14-F6DBC13BA8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63175" y="76200"/>
              <a:ext cx="1828800" cy="1762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9525</xdr:colOff>
      <xdr:row>34</xdr:row>
      <xdr:rowOff>152400</xdr:rowOff>
    </xdr:from>
    <xdr:to>
      <xdr:col>3</xdr:col>
      <xdr:colOff>666750</xdr:colOff>
      <xdr:row>50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C8AFEAB-05A2-4B11-8118-098362D61F2F}"/>
            </a:ext>
            <a:ext uri="{147F2762-F138-4A5C-976F-8EAC2B608ADB}">
              <a16:predDERef xmlns:a16="http://schemas.microsoft.com/office/drawing/2014/main" pred="{360FC722-BBA8-0AC3-7D71-106A6E956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390525</xdr:colOff>
      <xdr:row>25</xdr:row>
      <xdr:rowOff>171450</xdr:rowOff>
    </xdr:from>
    <xdr:to>
      <xdr:col>9</xdr:col>
      <xdr:colOff>1028700</xdr:colOff>
      <xdr:row>38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ountry 1">
              <a:extLst>
                <a:ext uri="{FF2B5EF4-FFF2-40B4-BE49-F238E27FC236}">
                  <a16:creationId xmlns:a16="http://schemas.microsoft.com/office/drawing/2014/main" id="{967B0376-5E51-FF9C-89CB-55AD768A98DB}"/>
                </a:ext>
                <a:ext uri="{147F2762-F138-4A5C-976F-8EAC2B608ADB}">
                  <a16:predDERef xmlns:a16="http://schemas.microsoft.com/office/drawing/2014/main" pred="{0C8AFEAB-05A2-4B11-8118-098362D61F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63175" y="1895475"/>
              <a:ext cx="1828800" cy="1838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38100</xdr:colOff>
      <xdr:row>4</xdr:row>
      <xdr:rowOff>57150</xdr:rowOff>
    </xdr:from>
    <xdr:to>
      <xdr:col>4</xdr:col>
      <xdr:colOff>333375</xdr:colOff>
      <xdr:row>18</xdr:row>
      <xdr:rowOff>9525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C69DD01-12BC-4682-B4FB-70E428949593}"/>
            </a:ext>
            <a:ext uri="{147F2762-F138-4A5C-976F-8EAC2B608ADB}">
              <a16:predDERef xmlns:a16="http://schemas.microsoft.com/office/drawing/2014/main" pred="{967B0376-5E51-FF9C-89CB-55AD768A9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342900</xdr:colOff>
      <xdr:row>51</xdr:row>
      <xdr:rowOff>28575</xdr:rowOff>
    </xdr:from>
    <xdr:to>
      <xdr:col>8</xdr:col>
      <xdr:colOff>295275</xdr:colOff>
      <xdr:row>65</xdr:row>
      <xdr:rowOff>57150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28A0EE4B-C0E3-41A5-BEDB-0ACC76DCF3E0}"/>
            </a:ext>
            <a:ext uri="{147F2762-F138-4A5C-976F-8EAC2B608ADB}">
              <a16:predDERef xmlns:a16="http://schemas.microsoft.com/office/drawing/2014/main" pred="{6C69DD01-12BC-4682-B4FB-70E428949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209550</xdr:colOff>
      <xdr:row>66</xdr:row>
      <xdr:rowOff>0</xdr:rowOff>
    </xdr:from>
    <xdr:to>
      <xdr:col>9</xdr:col>
      <xdr:colOff>914400</xdr:colOff>
      <xdr:row>82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BB93D89-F32A-432A-8F42-069D6B4D78D1}"/>
            </a:ext>
            <a:ext uri="{147F2762-F138-4A5C-976F-8EAC2B608ADB}">
              <a16:predDERef xmlns:a16="http://schemas.microsoft.com/office/drawing/2014/main" pred="{28A0EE4B-C0E3-41A5-BEDB-0ACC76DCF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9525</xdr:colOff>
      <xdr:row>65</xdr:row>
      <xdr:rowOff>161925</xdr:rowOff>
    </xdr:from>
    <xdr:to>
      <xdr:col>5</xdr:col>
      <xdr:colOff>142875</xdr:colOff>
      <xdr:row>82</xdr:row>
      <xdr:rowOff>123825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F9BE07F-1C6C-4168-99BF-8DBBBF95C47C}"/>
            </a:ext>
            <a:ext uri="{147F2762-F138-4A5C-976F-8EAC2B608ADB}">
              <a16:predDERef xmlns:a16="http://schemas.microsoft.com/office/drawing/2014/main" pred="{7BB93D89-F32A-432A-8F42-069D6B4D7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8</xdr:col>
      <xdr:colOff>409575</xdr:colOff>
      <xdr:row>38</xdr:row>
      <xdr:rowOff>76200</xdr:rowOff>
    </xdr:from>
    <xdr:to>
      <xdr:col>9</xdr:col>
      <xdr:colOff>1066800</xdr:colOff>
      <xdr:row>52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Month">
              <a:extLst>
                <a:ext uri="{FF2B5EF4-FFF2-40B4-BE49-F238E27FC236}">
                  <a16:creationId xmlns:a16="http://schemas.microsoft.com/office/drawing/2014/main" id="{54A1A7D4-F573-9F7E-C2FA-B70CC0E3DCE0}"/>
                </a:ext>
                <a:ext uri="{147F2762-F138-4A5C-976F-8EAC2B608ADB}">
                  <a16:predDERef xmlns:a16="http://schemas.microsoft.com/office/drawing/2014/main" pred="{9F9BE07F-1C6C-4168-99BF-8DBBBF95C4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39475" y="4819650"/>
              <a:ext cx="1828800" cy="2009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381000</xdr:colOff>
      <xdr:row>13</xdr:row>
      <xdr:rowOff>28575</xdr:rowOff>
    </xdr:from>
    <xdr:to>
      <xdr:col>9</xdr:col>
      <xdr:colOff>1047750</xdr:colOff>
      <xdr:row>17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Segment">
              <a:extLst>
                <a:ext uri="{FF2B5EF4-FFF2-40B4-BE49-F238E27FC236}">
                  <a16:creationId xmlns:a16="http://schemas.microsoft.com/office/drawing/2014/main" id="{763AF13E-349A-2F74-28E3-B66507B0CCB5}"/>
                </a:ext>
                <a:ext uri="{147F2762-F138-4A5C-976F-8EAC2B608ADB}">
                  <a16:predDERef xmlns:a16="http://schemas.microsoft.com/office/drawing/2014/main" pred="{54A1A7D4-F573-9F7E-C2FA-B70CC0E3DC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10900" y="3829050"/>
              <a:ext cx="182880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390525</xdr:colOff>
      <xdr:row>18</xdr:row>
      <xdr:rowOff>95250</xdr:rowOff>
    </xdr:from>
    <xdr:to>
      <xdr:col>9</xdr:col>
      <xdr:colOff>1047750</xdr:colOff>
      <xdr:row>25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Engine_Type">
              <a:extLst>
                <a:ext uri="{FF2B5EF4-FFF2-40B4-BE49-F238E27FC236}">
                  <a16:creationId xmlns:a16="http://schemas.microsoft.com/office/drawing/2014/main" id="{3C9CC2D8-711E-5711-8122-1C1CDE00CD23}"/>
                </a:ext>
                <a:ext uri="{147F2762-F138-4A5C-976F-8EAC2B608ADB}">
                  <a16:predDERef xmlns:a16="http://schemas.microsoft.com/office/drawing/2014/main" pred="{763AF13E-349A-2F74-28E3-B66507B0CC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gine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58525" y="6943725"/>
              <a:ext cx="1828800" cy="140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66675</xdr:colOff>
      <xdr:row>18</xdr:row>
      <xdr:rowOff>104775</xdr:rowOff>
    </xdr:from>
    <xdr:to>
      <xdr:col>8</xdr:col>
      <xdr:colOff>295275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2F7BBB-E1AD-4016-9406-A09A1DBB479E}"/>
            </a:ext>
            <a:ext uri="{147F2762-F138-4A5C-976F-8EAC2B608ADB}">
              <a16:predDERef xmlns:a16="http://schemas.microsoft.com/office/drawing/2014/main" pred="{3C9CC2D8-711E-5711-8122-1C1CDE00C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38100</xdr:colOff>
      <xdr:row>83</xdr:row>
      <xdr:rowOff>66675</xdr:rowOff>
    </xdr:from>
    <xdr:to>
      <xdr:col>5</xdr:col>
      <xdr:colOff>190500</xdr:colOff>
      <xdr:row>99</xdr:row>
      <xdr:rowOff>123825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2A21E15-425D-4F66-86B8-CB7FEF560DCE}"/>
            </a:ext>
            <a:ext uri="{147F2762-F138-4A5C-976F-8EAC2B608ADB}">
              <a16:predDERef xmlns:a16="http://schemas.microsoft.com/office/drawing/2014/main" pred="{072F7BBB-E1AD-4016-9406-A09A1DBB4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8</xdr:col>
      <xdr:colOff>400050</xdr:colOff>
      <xdr:row>52</xdr:row>
      <xdr:rowOff>171450</xdr:rowOff>
    </xdr:from>
    <xdr:to>
      <xdr:col>9</xdr:col>
      <xdr:colOff>1038225</xdr:colOff>
      <xdr:row>65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Year 1">
              <a:extLst>
                <a:ext uri="{FF2B5EF4-FFF2-40B4-BE49-F238E27FC236}">
                  <a16:creationId xmlns:a16="http://schemas.microsoft.com/office/drawing/2014/main" id="{FE0244D3-A2CF-7D12-EB28-4473C8FEA394}"/>
                </a:ext>
                <a:ext uri="{147F2762-F138-4A5C-976F-8EAC2B608ADB}">
                  <a16:predDERef xmlns:a16="http://schemas.microsoft.com/office/drawing/2014/main" pred="{42A21E15-425D-4F66-86B8-CB7FEF560D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15600" y="10077450"/>
              <a:ext cx="1828800" cy="2219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5</xdr:col>
      <xdr:colOff>266700</xdr:colOff>
      <xdr:row>83</xdr:row>
      <xdr:rowOff>38100</xdr:rowOff>
    </xdr:from>
    <xdr:to>
      <xdr:col>9</xdr:col>
      <xdr:colOff>923925</xdr:colOff>
      <xdr:row>99</xdr:row>
      <xdr:rowOff>123825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F9E4D4B-6CFF-4BEC-BF1F-922FDE03F7F5}"/>
            </a:ext>
            <a:ext uri="{147F2762-F138-4A5C-976F-8EAC2B608ADB}">
              <a16:predDERef xmlns:a16="http://schemas.microsoft.com/office/drawing/2014/main" pred="{FE0244D3-A2CF-7D12-EB28-4473C8FEA3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5</xdr:row>
      <xdr:rowOff>161925</xdr:rowOff>
    </xdr:from>
    <xdr:to>
      <xdr:col>12</xdr:col>
      <xdr:colOff>285750</xdr:colOff>
      <xdr:row>20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4AEAFB-952C-805E-682C-D638F070900B}"/>
            </a:ext>
            <a:ext uri="{147F2762-F138-4A5C-976F-8EAC2B608ADB}">
              <a16:predDERef xmlns:a16="http://schemas.microsoft.com/office/drawing/2014/main" pred="{8CC6D8CA-2D0A-0B5F-0D5A-2B1EED962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790575</xdr:colOff>
      <xdr:row>35</xdr:row>
      <xdr:rowOff>38100</xdr:rowOff>
    </xdr:from>
    <xdr:to>
      <xdr:col>16</xdr:col>
      <xdr:colOff>390525</xdr:colOff>
      <xdr:row>49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0F85F3-4F85-9DAE-6D5E-5D49863B9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323850</xdr:colOff>
      <xdr:row>22</xdr:row>
      <xdr:rowOff>28575</xdr:rowOff>
    </xdr:from>
    <xdr:to>
      <xdr:col>1</xdr:col>
      <xdr:colOff>885825</xdr:colOff>
      <xdr:row>36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untry">
              <a:extLst>
                <a:ext uri="{FF2B5EF4-FFF2-40B4-BE49-F238E27FC236}">
                  <a16:creationId xmlns:a16="http://schemas.microsoft.com/office/drawing/2014/main" id="{67718E6D-63F7-B908-C563-6634B1357B33}"/>
                </a:ext>
                <a:ext uri="{147F2762-F138-4A5C-976F-8EAC2B608ADB}">
                  <a16:predDERef xmlns:a16="http://schemas.microsoft.com/office/drawing/2014/main" pred="{130F85F3-4F85-9DAE-6D5E-5D49863B96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670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866775</xdr:colOff>
      <xdr:row>14</xdr:row>
      <xdr:rowOff>180975</xdr:rowOff>
    </xdr:from>
    <xdr:to>
      <xdr:col>3</xdr:col>
      <xdr:colOff>504825</xdr:colOff>
      <xdr:row>28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Year">
              <a:extLst>
                <a:ext uri="{FF2B5EF4-FFF2-40B4-BE49-F238E27FC236}">
                  <a16:creationId xmlns:a16="http://schemas.microsoft.com/office/drawing/2014/main" id="{477CA708-016C-7EA3-43D0-3402A673B0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1800" y="7048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123825</xdr:colOff>
      <xdr:row>26</xdr:row>
      <xdr:rowOff>171450</xdr:rowOff>
    </xdr:from>
    <xdr:to>
      <xdr:col>5</xdr:col>
      <xdr:colOff>857250</xdr:colOff>
      <xdr:row>40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odel 1">
              <a:extLst>
                <a:ext uri="{FF2B5EF4-FFF2-40B4-BE49-F238E27FC236}">
                  <a16:creationId xmlns:a16="http://schemas.microsoft.com/office/drawing/2014/main" id="{88B417E8-4D96-118C-529A-0A3D760F081A}"/>
                </a:ext>
                <a:ext uri="{147F2762-F138-4A5C-976F-8EAC2B608ADB}">
                  <a16:predDERef xmlns:a16="http://schemas.microsoft.com/office/drawing/2014/main" pred="{477CA708-016C-7EA3-43D0-3402A673B0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76775" y="51244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18</xdr:row>
      <xdr:rowOff>114300</xdr:rowOff>
    </xdr:from>
    <xdr:to>
      <xdr:col>1</xdr:col>
      <xdr:colOff>1171575</xdr:colOff>
      <xdr:row>32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odel">
              <a:extLst>
                <a:ext uri="{FF2B5EF4-FFF2-40B4-BE49-F238E27FC236}">
                  <a16:creationId xmlns:a16="http://schemas.microsoft.com/office/drawing/2014/main" id="{A5F04338-C4C9-5CD9-E7D9-7C214CF05EF2}"/>
                </a:ext>
                <a:ext uri="{147F2762-F138-4A5C-976F-8EAC2B608ADB}">
                  <a16:predDERef xmlns:a16="http://schemas.microsoft.com/office/drawing/2014/main" pred="{47172D22-9334-700D-82AE-4F34EF295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35433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</xdr:col>
      <xdr:colOff>342900</xdr:colOff>
      <xdr:row>1</xdr:row>
      <xdr:rowOff>142875</xdr:rowOff>
    </xdr:from>
    <xdr:to>
      <xdr:col>6</xdr:col>
      <xdr:colOff>152400</xdr:colOff>
      <xdr:row>16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D69CEF6-EC77-74EC-090D-039C070117A7}"/>
            </a:ext>
            <a:ext uri="{147F2762-F138-4A5C-976F-8EAC2B608ADB}">
              <a16:predDERef xmlns:a16="http://schemas.microsoft.com/office/drawing/2014/main" pred="{A5F04338-C4C9-5CD9-E7D9-7C214CF05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381000</xdr:colOff>
      <xdr:row>16</xdr:row>
      <xdr:rowOff>152400</xdr:rowOff>
    </xdr:from>
    <xdr:to>
      <xdr:col>6</xdr:col>
      <xdr:colOff>114300</xdr:colOff>
      <xdr:row>31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999D85E-36BF-D94C-BDB1-7EAEA1E65269}"/>
            </a:ext>
            <a:ext uri="{147F2762-F138-4A5C-976F-8EAC2B608ADB}">
              <a16:predDERef xmlns:a16="http://schemas.microsoft.com/office/drawing/2014/main" pred="{4D69CEF6-EC77-74EC-090D-039C07011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1</xdr:row>
      <xdr:rowOff>66675</xdr:rowOff>
    </xdr:from>
    <xdr:to>
      <xdr:col>9</xdr:col>
      <xdr:colOff>1190625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E9DA7A-7D8F-B78A-2610-7251EE65C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447675</xdr:colOff>
      <xdr:row>18</xdr:row>
      <xdr:rowOff>19050</xdr:rowOff>
    </xdr:from>
    <xdr:to>
      <xdr:col>8</xdr:col>
      <xdr:colOff>1143000</xdr:colOff>
      <xdr:row>32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C2BFF7-10E5-7596-BFE7-4DA0AEBA8020}"/>
            </a:ext>
            <a:ext uri="{147F2762-F138-4A5C-976F-8EAC2B608ADB}">
              <a16:predDERef xmlns:a16="http://schemas.microsoft.com/office/drawing/2014/main" pred="{D0E9DA7A-7D8F-B78A-2610-7251EE65C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</xdr:colOff>
      <xdr:row>40</xdr:row>
      <xdr:rowOff>142875</xdr:rowOff>
    </xdr:from>
    <xdr:to>
      <xdr:col>9</xdr:col>
      <xdr:colOff>1447800</xdr:colOff>
      <xdr:row>55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471288-5249-9DDE-6218-43CFFF43AD9A}"/>
            </a:ext>
            <a:ext uri="{147F2762-F138-4A5C-976F-8EAC2B608ADB}">
              <a16:predDERef xmlns:a16="http://schemas.microsoft.com/office/drawing/2014/main" pred="{DCC2BFF7-10E5-7596-BFE7-4DA0AEBA8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161925</xdr:colOff>
      <xdr:row>59</xdr:row>
      <xdr:rowOff>76200</xdr:rowOff>
    </xdr:from>
    <xdr:to>
      <xdr:col>14</xdr:col>
      <xdr:colOff>533400</xdr:colOff>
      <xdr:row>73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1E4FC0-B6CB-83E7-58D0-EC50B15ABC0D}"/>
            </a:ext>
            <a:ext uri="{147F2762-F138-4A5C-976F-8EAC2B608ADB}">
              <a16:predDERef xmlns:a16="http://schemas.microsoft.com/office/drawing/2014/main" pred="{43471288-5249-9DDE-6218-43CFFF43A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895350</xdr:colOff>
      <xdr:row>75</xdr:row>
      <xdr:rowOff>180975</xdr:rowOff>
    </xdr:from>
    <xdr:to>
      <xdr:col>9</xdr:col>
      <xdr:colOff>19050</xdr:colOff>
      <xdr:row>90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3DE0B8-DD36-B805-BDEE-E2C59706D995}"/>
            </a:ext>
            <a:ext uri="{147F2762-F138-4A5C-976F-8EAC2B608ADB}">
              <a16:predDERef xmlns:a16="http://schemas.microsoft.com/office/drawing/2014/main" pred="{5A1E4FC0-B6CB-83E7-58D0-EC50B15AB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2.774692592589" createdVersion="8" refreshedVersion="8" minRefreshableVersion="3" recordCount="1000" xr:uid="{652FD08D-A55A-40C0-9E4F-EA8B62418A67}">
  <cacheSource type="worksheet">
    <worksheetSource ref="A1:P1001" sheet="Bmw sales data"/>
  </cacheSource>
  <cacheFields count="16">
    <cacheField name="Year" numFmtId="0">
      <sharedItems containsSemiMixedTypes="0" containsString="0" containsNumber="1" containsInteger="1" minValue="2015" maxValue="2024" count="10">
        <n v="2021"/>
        <n v="2018"/>
        <n v="2022"/>
        <n v="2019"/>
        <n v="2024"/>
        <n v="2017"/>
        <n v="2020"/>
        <n v="2016"/>
        <n v="2015"/>
        <n v="2023"/>
      </sharedItems>
    </cacheField>
    <cacheField name="Month" numFmtId="0">
      <sharedItems count="12">
        <s v="Jan"/>
        <s v="Aug"/>
        <s v="Dec"/>
        <s v="Nov"/>
        <s v="Apr"/>
        <s v="May"/>
        <s v="Oct"/>
        <s v="Sep"/>
        <s v="Jun"/>
        <s v="Mar"/>
        <s v="Jul"/>
        <s v="Feb"/>
      </sharedItems>
    </cacheField>
    <cacheField name="Country" numFmtId="0">
      <sharedItems count="10">
        <s v="Australia"/>
        <s v="USA"/>
        <s v="Brazil"/>
        <s v="China"/>
        <s v="India"/>
        <s v="UK"/>
        <s v="Canada"/>
        <s v="Germany"/>
        <s v="France"/>
        <s v="Japan"/>
      </sharedItems>
    </cacheField>
    <cacheField name="Model" numFmtId="0">
      <sharedItems count="10">
        <s v="X1"/>
        <s v="I4"/>
        <s v="5 SERIES"/>
        <s v="I7"/>
        <s v="X5"/>
        <s v="X7"/>
        <s v="3 SERIES"/>
        <s v="7 SERIES"/>
        <s v="X3"/>
        <s v="IX"/>
      </sharedItems>
    </cacheField>
    <cacheField name="Segment" numFmtId="0">
      <sharedItems count="2">
        <s v="SUV"/>
        <s v="Sedan"/>
      </sharedItems>
    </cacheField>
    <cacheField name="Engine_Type" numFmtId="0">
      <sharedItems count="4">
        <s v="Petrol"/>
        <s v="Electric"/>
        <s v="Hybrid"/>
        <s v="Diesel"/>
      </sharedItems>
    </cacheField>
    <cacheField name="Price_Usd" numFmtId="165">
      <sharedItems containsSemiMixedTypes="0" containsString="0" containsNumber="1" containsInteger="1" minValue="35060" maxValue="119817"/>
    </cacheField>
    <cacheField name="Marketing_Spend_Usd" numFmtId="165">
      <sharedItems containsSemiMixedTypes="0" containsString="0" containsNumber="1" containsInteger="1" minValue="50363" maxValue="498927"/>
    </cacheField>
    <cacheField name="Dealership_Count" numFmtId="0">
      <sharedItems containsSemiMixedTypes="0" containsString="0" containsNumber="1" containsInteger="1" minValue="10" maxValue="399" count="355">
        <n v="96"/>
        <n v="234"/>
        <n v="25"/>
        <n v="319"/>
        <n v="367"/>
        <n v="172"/>
        <n v="107"/>
        <n v="165"/>
        <n v="11"/>
        <n v="359"/>
        <n v="178"/>
        <n v="324"/>
        <n v="334"/>
        <n v="384"/>
        <n v="101"/>
        <n v="190"/>
        <n v="240"/>
        <n v="310"/>
        <n v="157"/>
        <n v="289"/>
        <n v="198"/>
        <n v="356"/>
        <n v="323"/>
        <n v="137"/>
        <n v="16"/>
        <n v="56"/>
        <n v="62"/>
        <n v="196"/>
        <n v="47"/>
        <n v="235"/>
        <n v="233"/>
        <n v="163"/>
        <n v="57"/>
        <n v="360"/>
        <n v="156"/>
        <n v="73"/>
        <n v="358"/>
        <n v="191"/>
        <n v="134"/>
        <n v="188"/>
        <n v="48"/>
        <n v="269"/>
        <n v="391"/>
        <n v="12"/>
        <n v="38"/>
        <n v="381"/>
        <n v="20"/>
        <n v="106"/>
        <n v="212"/>
        <n v="30"/>
        <n v="232"/>
        <n v="111"/>
        <n v="55"/>
        <n v="75"/>
        <n v="100"/>
        <n v="173"/>
        <n v="120"/>
        <n v="347"/>
        <n v="132"/>
        <n v="202"/>
        <n v="108"/>
        <n v="300"/>
        <n v="168"/>
        <n v="112"/>
        <n v="394"/>
        <n v="290"/>
        <n v="52"/>
        <n v="93"/>
        <n v="200"/>
        <n v="60"/>
        <n v="395"/>
        <n v="219"/>
        <n v="135"/>
        <n v="78"/>
        <n v="274"/>
        <n v="267"/>
        <n v="197"/>
        <n v="239"/>
        <n v="19"/>
        <n v="123"/>
        <n v="85"/>
        <n v="94"/>
        <n v="58"/>
        <n v="335"/>
        <n v="186"/>
        <n v="396"/>
        <n v="398"/>
        <n v="227"/>
        <n v="355"/>
        <n v="264"/>
        <n v="245"/>
        <n v="35"/>
        <n v="81"/>
        <n v="270"/>
        <n v="263"/>
        <n v="280"/>
        <n v="153"/>
        <n v="266"/>
        <n v="268"/>
        <n v="22"/>
        <n v="385"/>
        <n v="217"/>
        <n v="320"/>
        <n v="244"/>
        <n v="158"/>
        <n v="331"/>
        <n v="164"/>
        <n v="175"/>
        <n v="99"/>
        <n v="195"/>
        <n v="327"/>
        <n v="183"/>
        <n v="226"/>
        <n v="273"/>
        <n v="126"/>
        <n v="208"/>
        <n v="329"/>
        <n v="209"/>
        <n v="380"/>
        <n v="350"/>
        <n v="257"/>
        <n v="285"/>
        <n v="67"/>
        <n v="311"/>
        <n v="40"/>
        <n v="258"/>
        <n v="102"/>
        <n v="103"/>
        <n v="294"/>
        <n v="89"/>
        <n v="301"/>
        <n v="374"/>
        <n v="383"/>
        <n v="46"/>
        <n v="351"/>
        <n v="336"/>
        <n v="241"/>
        <n v="345"/>
        <n v="23"/>
        <n v="382"/>
        <n v="82"/>
        <n v="225"/>
        <n v="314"/>
        <n v="229"/>
        <n v="337"/>
        <n v="224"/>
        <n v="230"/>
        <n v="51"/>
        <n v="144"/>
        <n v="370"/>
        <n v="292"/>
        <n v="34"/>
        <n v="138"/>
        <n v="339"/>
        <n v="162"/>
        <n v="76"/>
        <n v="15"/>
        <n v="91"/>
        <n v="213"/>
        <n v="159"/>
        <n v="302"/>
        <n v="33"/>
        <n v="377"/>
        <n v="221"/>
        <n v="74"/>
        <n v="218"/>
        <n v="260"/>
        <n v="125"/>
        <n v="246"/>
        <n v="114"/>
        <n v="340"/>
        <n v="342"/>
        <n v="44"/>
        <n v="37"/>
        <n v="68"/>
        <n v="252"/>
        <n v="216"/>
        <n v="276"/>
        <n v="344"/>
        <n v="124"/>
        <n v="77"/>
        <n v="308"/>
        <n v="84"/>
        <n v="306"/>
        <n v="187"/>
        <n v="170"/>
        <n v="366"/>
        <n v="185"/>
        <n v="88"/>
        <n v="392"/>
        <n v="141"/>
        <n v="297"/>
        <n v="10"/>
        <n v="65"/>
        <n v="121"/>
        <n v="295"/>
        <n v="45"/>
        <n v="92"/>
        <n v="316"/>
        <n v="31"/>
        <n v="116"/>
        <n v="118"/>
        <n v="365"/>
        <n v="189"/>
        <n v="109"/>
        <n v="393"/>
        <n v="309"/>
        <n v="282"/>
        <n v="110"/>
        <n v="253"/>
        <n v="247"/>
        <n v="362"/>
        <n v="368"/>
        <n v="220"/>
        <n v="238"/>
        <n v="397"/>
        <n v="149"/>
        <n v="279"/>
        <n v="256"/>
        <n v="21"/>
        <n v="364"/>
        <n v="346"/>
        <n v="115"/>
        <n v="41"/>
        <n v="83"/>
        <n v="180"/>
        <n v="371"/>
        <n v="146"/>
        <n v="155"/>
        <n v="18"/>
        <n v="71"/>
        <n v="194"/>
        <n v="390"/>
        <n v="152"/>
        <n v="399"/>
        <n v="129"/>
        <n v="179"/>
        <n v="166"/>
        <n v="251"/>
        <n v="181"/>
        <n v="29"/>
        <n v="322"/>
        <n v="205"/>
        <n v="61"/>
        <n v="17"/>
        <n v="54"/>
        <n v="243"/>
        <n v="298"/>
        <n v="39"/>
        <n v="140"/>
        <n v="262"/>
        <n v="150"/>
        <n v="139"/>
        <n v="255"/>
        <n v="361"/>
        <n v="119"/>
        <n v="265"/>
        <n v="321"/>
        <n v="171"/>
        <n v="80"/>
        <n v="64"/>
        <n v="332"/>
        <n v="207"/>
        <n v="307"/>
        <n v="363"/>
        <n v="113"/>
        <n v="53"/>
        <n v="287"/>
        <n v="389"/>
        <n v="376"/>
        <n v="338"/>
        <n v="284"/>
        <n v="49"/>
        <n v="36"/>
        <n v="199"/>
        <n v="176"/>
        <n v="288"/>
        <n v="142"/>
        <n v="291"/>
        <n v="278"/>
        <n v="27"/>
        <n v="214"/>
        <n v="250"/>
        <n v="378"/>
        <n v="143"/>
        <n v="59"/>
        <n v="79"/>
        <n v="271"/>
        <n v="160"/>
        <n v="98"/>
        <n v="222"/>
        <n v="242"/>
        <n v="192"/>
        <n v="43"/>
        <n v="201"/>
        <n v="148"/>
        <n v="130"/>
        <n v="72"/>
        <n v="182"/>
        <n v="325"/>
        <n v="169"/>
        <n v="161"/>
        <n v="204"/>
        <n v="343"/>
        <n v="313"/>
        <n v="330"/>
        <n v="303"/>
        <n v="388"/>
        <n v="26"/>
        <n v="136"/>
        <n v="177"/>
        <n v="223"/>
        <n v="167"/>
        <n v="174"/>
        <n v="352"/>
        <n v="386"/>
        <n v="236"/>
        <n v="326"/>
        <n v="341"/>
        <n v="184"/>
        <n v="318"/>
        <n v="312"/>
        <n v="86"/>
        <n v="24"/>
        <n v="328"/>
        <n v="272"/>
        <n v="13"/>
        <n v="69"/>
        <n v="254"/>
        <n v="286"/>
        <n v="66"/>
        <n v="28"/>
        <n v="228"/>
        <n v="211"/>
        <n v="353"/>
        <n v="231"/>
        <n v="281"/>
        <n v="237"/>
        <n v="131"/>
        <n v="375"/>
        <n v="95"/>
        <n v="357"/>
        <n v="296"/>
        <n v="373"/>
        <n v="315"/>
        <n v="203"/>
        <n v="145"/>
        <n v="283"/>
        <n v="127"/>
        <n v="87"/>
        <n v="304"/>
        <n v="104"/>
        <n v="215"/>
        <n v="151"/>
        <n v="299"/>
      </sharedItems>
    </cacheField>
    <cacheField name="Fuel_Price_Usd" numFmtId="165">
      <sharedItems containsSemiMixedTypes="0" containsString="0" containsNumber="1" minValue="0.97" maxValue="0.97"/>
    </cacheField>
    <cacheField name="Gdp_Growth_Percent" numFmtId="0">
      <sharedItems containsSemiMixedTypes="0" containsString="0" containsNumber="1" minValue="6.29" maxValue="6.29"/>
    </cacheField>
    <cacheField name="Interest_Rate_Percent" numFmtId="0">
      <sharedItems containsSemiMixedTypes="0" containsString="0" containsNumber="1" minValue="1.2" maxValue="1.2"/>
    </cacheField>
    <cacheField name="Competition_Index" numFmtId="0">
      <sharedItems containsSemiMixedTypes="0" containsString="0" containsNumber="1" containsInteger="1" minValue="1" maxValue="10"/>
    </cacheField>
    <cacheField name="Units_Sold" numFmtId="0">
      <sharedItems containsSemiMixedTypes="0" containsString="0" containsNumber="1" containsInteger="1" minValue="15" maxValue="1242" count="621">
        <n v="324"/>
        <n v="556"/>
        <n v="152"/>
        <n v="730"/>
        <n v="1156"/>
        <n v="687"/>
        <n v="439"/>
        <n v="489"/>
        <n v="435"/>
        <n v="1080"/>
        <n v="447"/>
        <n v="827"/>
        <n v="712"/>
        <n v="1181"/>
        <n v="307"/>
        <n v="725"/>
        <n v="588"/>
        <n v="644"/>
        <n v="534"/>
        <n v="1004"/>
        <n v="544"/>
        <n v="751"/>
        <n v="1061"/>
        <n v="954"/>
        <n v="673"/>
        <n v="15"/>
        <n v="107"/>
        <n v="523"/>
        <n v="782"/>
        <n v="397"/>
        <n v="773"/>
        <n v="179"/>
        <n v="652"/>
        <n v="389"/>
        <n v="213"/>
        <n v="945"/>
        <n v="705"/>
        <n v="368"/>
        <n v="743"/>
        <n v="805"/>
        <n v="380"/>
        <n v="543"/>
        <n v="429"/>
        <n v="661"/>
        <n v="1001"/>
        <n v="413"/>
        <n v="396"/>
        <n v="225"/>
        <n v="992"/>
        <n v="476"/>
        <n v="357"/>
        <n v="1145"/>
        <n v="679"/>
        <n v="184"/>
        <n v="205"/>
        <n v="578"/>
        <n v="292"/>
        <n v="495"/>
        <n v="576"/>
        <n v="453"/>
        <n v="1070"/>
        <n v="348"/>
        <n v="651"/>
        <n v="951"/>
        <n v="393"/>
        <n v="1190"/>
        <n v="847"/>
        <n v="117"/>
        <n v="518"/>
        <n v="610"/>
        <n v="260"/>
        <n v="1115"/>
        <n v="677"/>
        <n v="370"/>
        <n v="532"/>
        <n v="691"/>
        <n v="899"/>
        <n v="605"/>
        <n v="474"/>
        <n v="706"/>
        <n v="272"/>
        <n v="531"/>
        <n v="586"/>
        <n v="667"/>
        <n v="559"/>
        <n v="502"/>
        <n v="822"/>
        <n v="564"/>
        <n v="1066"/>
        <n v="871"/>
        <n v="592"/>
        <n v="508"/>
        <n v="1177"/>
        <n v="630"/>
        <n v="845"/>
        <n v="880"/>
        <n v="100"/>
        <n v="451"/>
        <n v="944"/>
        <n v="947"/>
        <n v="658"/>
        <n v="904"/>
        <n v="728"/>
        <n v="709"/>
        <n v="1007"/>
        <n v="193"/>
        <n v="874"/>
        <n v="622"/>
        <n v="1049"/>
        <n v="857"/>
        <n v="426"/>
        <n v="1055"/>
        <n v="742"/>
        <n v="686"/>
        <n v="299"/>
        <n v="716"/>
        <n v="906"/>
        <n v="1038"/>
        <n v="421"/>
        <n v="551"/>
        <n v="941"/>
        <n v="626"/>
        <n v="632"/>
        <n v="837"/>
        <n v="749"/>
        <n v="373"/>
        <n v="753"/>
        <n v="1169"/>
        <n v="780"/>
        <n v="756"/>
        <n v="848"/>
        <n v="911"/>
        <n v="530"/>
        <n v="989"/>
        <n v="203"/>
        <n v="685"/>
        <n v="408"/>
        <n v="762"/>
        <n v="425"/>
        <n v="596"/>
        <n v="769"/>
        <n v="997"/>
        <n v="1043"/>
        <n v="849"/>
        <n v="122"/>
        <n v="916"/>
        <n v="882"/>
        <n v="472"/>
        <n v="448"/>
        <n v="956"/>
        <n v="628"/>
        <n v="806"/>
        <n v="465"/>
        <n v="121"/>
        <n v="923"/>
        <n v="507"/>
        <n v="288"/>
        <n v="519"/>
        <n v="527"/>
        <n v="883"/>
        <n v="361"/>
        <n v="388"/>
        <n v="844"/>
        <n v="887"/>
        <n v="788"/>
        <n v="1026"/>
        <n v="347"/>
        <n v="386"/>
        <n v="187"/>
        <n v="599"/>
        <n v="815"/>
        <n v="1044"/>
        <n v="536"/>
        <n v="967"/>
        <n v="744"/>
        <n v="341"/>
        <n v="511"/>
        <n v="790"/>
        <n v="457"/>
        <n v="245"/>
        <n v="818"/>
        <n v="419"/>
        <n v="173"/>
        <n v="654"/>
        <n v="211"/>
        <n v="375"/>
        <n v="975"/>
        <n v="500"/>
        <n v="142"/>
        <n v="697"/>
        <n v="446"/>
        <n v="477"/>
        <n v="1008"/>
        <n v="781"/>
        <n v="542"/>
        <n v="796"/>
        <n v="1237"/>
        <n v="318"/>
        <n v="924"/>
        <n v="1099"/>
        <n v="894"/>
        <n v="665"/>
        <n v="830"/>
        <n v="360"/>
        <n v="162"/>
        <n v="411"/>
        <n v="359"/>
        <n v="367"/>
        <n v="550"/>
        <n v="903"/>
        <n v="860"/>
        <n v="1012"/>
        <n v="538"/>
        <n v="516"/>
        <n v="407"/>
        <n v="925"/>
        <n v="1025"/>
        <n v="450"/>
        <n v="999"/>
        <n v="811"/>
        <n v="209"/>
        <n v="840"/>
        <n v="344"/>
        <n v="441"/>
        <n v="281"/>
        <n v="625"/>
        <n v="1104"/>
        <n v="540"/>
        <n v="420"/>
        <n v="897"/>
        <n v="529"/>
        <n v="943"/>
        <n v="634"/>
        <n v="670"/>
        <n v="191"/>
        <n v="937"/>
        <n v="471"/>
        <n v="615"/>
        <n v="265"/>
        <n v="313"/>
        <n v="674"/>
        <n v="807"/>
        <n v="201"/>
        <n v="1051"/>
        <n v="436"/>
        <n v="197"/>
        <n v="1021"/>
        <n v="640"/>
        <n v="1081"/>
        <n v="675"/>
        <n v="351"/>
        <n v="355"/>
        <n v="1195"/>
        <n v="473"/>
        <n v="1027"/>
        <n v="505"/>
        <n v="369"/>
        <n v="432"/>
        <n v="554"/>
        <n v="398"/>
        <n v="424"/>
        <n v="67"/>
        <n v="514"/>
        <n v="255"/>
        <n v="302"/>
        <n v="498"/>
        <n v="176"/>
        <n v="736"/>
        <n v="836"/>
        <n v="609"/>
        <n v="130"/>
        <n v="533"/>
        <n v="430"/>
        <n v="647"/>
        <n v="520"/>
        <n v="961"/>
        <n v="552"/>
        <n v="1150"/>
        <n v="876"/>
        <n v="525"/>
        <n v="718"/>
        <n v="680"/>
        <n v="466"/>
        <n v="497"/>
        <n v="893"/>
        <n v="158"/>
        <n v="701"/>
        <n v="657"/>
        <n v="306"/>
        <n v="958"/>
        <n v="1096"/>
        <n v="1086"/>
        <n v="290"/>
        <n v="475"/>
        <n v="521"/>
        <n v="1019"/>
        <n v="395"/>
        <n v="467"/>
        <n v="571"/>
        <n v="206"/>
        <n v="1135"/>
        <n v="517"/>
        <n v="1137"/>
        <n v="539"/>
        <n v="613"/>
        <n v="934"/>
        <n v="980"/>
        <n v="499"/>
        <n v="662"/>
        <n v="608"/>
        <n v="719"/>
        <n v="257"/>
        <n v="699"/>
        <n v="1078"/>
        <n v="246"/>
        <n v="931"/>
        <n v="1013"/>
        <n v="977"/>
        <n v="346"/>
        <n v="353"/>
        <n v="620"/>
        <n v="868"/>
        <n v="231"/>
        <n v="567"/>
        <n v="1016"/>
        <n v="875"/>
        <n v="1083"/>
        <n v="978"/>
        <n v="248"/>
        <n v="147"/>
        <n v="886"/>
        <n v="319"/>
        <n v="493"/>
        <n v="581"/>
        <n v="207"/>
        <n v="775"/>
        <n v="724"/>
        <n v="664"/>
        <n v="953"/>
        <n v="305"/>
        <n v="813"/>
        <n v="865"/>
        <n v="765"/>
        <n v="638"/>
        <n v="778"/>
        <n v="192"/>
        <n v="400"/>
        <n v="469"/>
        <n v="884"/>
        <n v="910"/>
        <n v="372"/>
        <n v="636"/>
        <n v="433"/>
        <n v="573"/>
        <n v="575"/>
        <n v="918"/>
        <n v="1197"/>
        <n v="216"/>
        <n v="72"/>
        <n v="416"/>
        <n v="254"/>
        <n v="862"/>
        <n v="409"/>
        <n v="561"/>
        <n v="889"/>
        <n v="784"/>
        <n v="417"/>
        <n v="869"/>
        <n v="296"/>
        <n v="418"/>
        <n v="930"/>
        <n v="902"/>
        <n v="1118"/>
        <n v="1242"/>
        <n v="406"/>
        <n v="878"/>
        <n v="479"/>
        <n v="721"/>
        <n v="1161"/>
        <n v="717"/>
        <n v="428"/>
        <n v="929"/>
        <n v="602"/>
        <n v="1109"/>
        <n v="711"/>
        <n v="896"/>
        <n v="480"/>
        <n v="157"/>
        <n v="488"/>
        <n v="149"/>
        <n v="863"/>
        <n v="512"/>
        <n v="1153"/>
        <n v="639"/>
        <n v="545"/>
        <n v="1202"/>
        <n v="151"/>
        <n v="936"/>
        <n v="267"/>
        <n v="524"/>
        <n v="935"/>
        <n v="681"/>
        <n v="735"/>
        <n v="708"/>
        <n v="1022"/>
        <n v="212"/>
        <n v="982"/>
        <n v="659"/>
        <n v="1031"/>
        <n v="666"/>
        <n v="601"/>
        <n v="510"/>
        <n v="759"/>
        <n v="750"/>
        <n v="905"/>
        <n v="798"/>
        <n v="311"/>
        <n v="170"/>
        <n v="282"/>
        <n v="668"/>
        <n v="284"/>
        <n v="641"/>
        <n v="1033"/>
        <n v="646"/>
        <n v="738"/>
        <n v="182"/>
        <n v="431"/>
        <n v="309"/>
        <n v="381"/>
        <n v="553"/>
        <n v="111"/>
        <n v="492"/>
        <n v="1114"/>
        <n v="737"/>
        <n v="703"/>
        <n v="327"/>
        <n v="591"/>
        <n v="1069"/>
        <n v="587"/>
        <n v="976"/>
        <n v="802"/>
        <n v="410"/>
        <n v="250"/>
        <n v="914"/>
        <n v="387"/>
        <n v="314"/>
        <n v="797"/>
        <n v="459"/>
        <n v="637"/>
        <n v="994"/>
        <n v="496"/>
        <n v="354"/>
        <n v="984"/>
        <n v="829"/>
        <n v="106"/>
        <n v="720"/>
        <n v="835"/>
        <n v="1024"/>
        <n v="377"/>
        <n v="663"/>
        <n v="415"/>
        <n v="877"/>
        <n v="456"/>
        <n v="814"/>
        <n v="557"/>
        <n v="842"/>
        <n v="1071"/>
        <n v="682"/>
        <n v="482"/>
        <n v="739"/>
        <n v="1062"/>
        <n v="995"/>
        <n v="895"/>
        <n v="754"/>
        <n v="1193"/>
        <n v="226"/>
        <n v="1119"/>
        <n v="713"/>
        <n v="963"/>
        <n v="304"/>
        <n v="766"/>
        <n v="434"/>
        <n v="513"/>
        <n v="800"/>
        <n v="221"/>
        <n v="256"/>
        <n v="853"/>
        <n v="317"/>
        <n v="461"/>
        <n v="964"/>
        <n v="275"/>
        <n v="861"/>
        <n v="298"/>
        <n v="92"/>
        <n v="1006"/>
        <n v="548"/>
        <n v="286"/>
        <n v="631"/>
        <n v="928"/>
        <n v="123"/>
        <n v="1088"/>
        <n v="171"/>
        <n v="908"/>
        <n v="247"/>
        <n v="834"/>
        <n v="155"/>
        <n v="1087"/>
        <n v="684"/>
        <n v="933"/>
        <n v="235"/>
        <n v="1073"/>
        <n v="597"/>
        <n v="1067"/>
        <n v="816"/>
        <n v="683"/>
        <n v="714"/>
        <n v="824"/>
        <n v="785"/>
        <n v="922"/>
        <n v="570"/>
        <n v="1129"/>
        <n v="185"/>
        <n v="678"/>
        <n v="966"/>
        <n v="879"/>
        <n v="971"/>
        <n v="707"/>
        <n v="595"/>
        <n v="244"/>
        <n v="694"/>
        <n v="515"/>
        <n v="804"/>
        <n v="468"/>
        <n v="786"/>
        <n v="224"/>
        <n v="438"/>
        <n v="390"/>
        <n v="303"/>
        <n v="693"/>
        <n v="1095"/>
        <n v="1075"/>
        <n v="1122"/>
        <n v="820"/>
        <n v="789"/>
        <n v="985"/>
        <n v="301"/>
        <n v="70"/>
        <n v="584"/>
        <n v="238"/>
        <n v="629"/>
        <n v="80"/>
        <n v="401"/>
        <n v="312"/>
        <n v="747"/>
        <n v="330"/>
        <n v="733"/>
        <n v="194"/>
        <n v="277"/>
        <n v="810"/>
        <n v="968"/>
        <n v="270"/>
        <n v="912"/>
        <n v="376"/>
        <n v="695"/>
        <n v="892"/>
        <n v="669"/>
        <n v="926"/>
        <n v="136"/>
        <n v="727"/>
        <n v="600"/>
        <n v="913"/>
        <n v="900"/>
        <n v="823"/>
        <n v="560"/>
        <n v="907"/>
        <n v="186"/>
        <n v="455"/>
        <n v="253"/>
        <n v="794"/>
        <n v="1130"/>
        <n v="1036"/>
        <n v="606"/>
        <n v="791"/>
        <n v="547"/>
        <n v="349"/>
        <n v="1149"/>
        <n v="898"/>
        <n v="522"/>
        <n v="334"/>
        <n v="463"/>
        <n v="579"/>
        <n v="881"/>
        <n v="821"/>
        <n v="566"/>
        <n v="268"/>
        <n v="973"/>
        <n v="336"/>
        <n v="150"/>
        <n v="819"/>
        <n v="1029"/>
        <n v="403"/>
        <n v="607"/>
        <n v="1116"/>
        <n v="740"/>
        <n v="1196"/>
        <n v="710"/>
        <n v="243"/>
        <n v="59"/>
        <n v="320"/>
        <n v="565"/>
        <n v="96"/>
        <n v="582"/>
        <n v="1124"/>
        <n v="704"/>
        <n v="332"/>
        <n v="698"/>
        <n v="726"/>
        <n v="648"/>
        <n v="783"/>
        <n v="614"/>
        <n v="891"/>
      </sharedItems>
    </cacheField>
    <cacheField name="Gross Revenue" numFmtId="165">
      <sharedItems containsSemiMixedTypes="0" containsString="0" containsNumber="1" containsInteger="1" minValue="1370940" maxValue="136271631"/>
    </cacheField>
    <cacheField name="Net Revenue" numFmtId="165">
      <sharedItems containsSemiMixedTypes="0" containsString="0" containsNumber="1" containsInteger="1" minValue="1309391" maxValue="135821419" count="1000">
        <n v="26328444"/>
        <n v="45305998"/>
        <n v="5910533"/>
        <n v="30607289"/>
        <n v="94674125"/>
        <n v="81104313"/>
        <n v="50147731"/>
        <n v="24839716"/>
        <n v="17839070"/>
        <n v="45081923"/>
        <n v="41124772"/>
        <n v="72232423"/>
        <n v="37238063"/>
        <n v="91961353"/>
        <n v="36204706"/>
        <n v="56134771"/>
        <n v="56503828"/>
        <n v="71178924"/>
        <n v="19344164"/>
        <n v="75798362"/>
        <n v="28209620"/>
        <n v="65908736"/>
        <n v="61206520"/>
        <n v="57343485"/>
        <n v="53497683"/>
        <n v="1309391"/>
        <n v="5095678"/>
        <n v="51405468"/>
        <n v="93463207"/>
        <n v="38846442"/>
        <n v="57399413"/>
        <n v="18399026"/>
        <n v="58253947"/>
        <n v="18026045"/>
        <n v="19118365"/>
        <n v="59868170"/>
        <n v="78286738"/>
        <n v="29420605"/>
        <n v="86143511"/>
        <n v="76237920"/>
        <n v="45170038"/>
        <n v="41805515"/>
        <n v="16856573"/>
        <n v="77614633"/>
        <n v="106019641"/>
        <n v="34634023"/>
        <n v="45086243"/>
        <n v="10369916"/>
        <n v="35991901"/>
        <n v="30874346"/>
        <n v="42256236"/>
        <n v="115266609"/>
        <n v="37589299"/>
        <n v="17308145"/>
        <n v="21764940"/>
        <n v="19297071"/>
        <n v="37556695"/>
        <n v="21769259"/>
        <n v="55238679"/>
        <n v="38957342"/>
        <n v="29580713"/>
        <n v="49136085"/>
        <n v="99048460"/>
        <n v="24577519"/>
        <n v="32794522"/>
        <n v="19312677"/>
        <n v="41818719"/>
        <n v="28476700"/>
        <n v="51986645"/>
        <n v="135821419"/>
        <n v="93936603"/>
        <n v="7263239"/>
        <n v="31996971"/>
        <n v="45908482"/>
        <n v="30195974"/>
        <n v="102892825"/>
        <n v="26579743"/>
        <n v="18970225"/>
        <n v="43095369"/>
        <n v="28732774"/>
        <n v="74662972"/>
        <n v="37342446"/>
        <n v="33697722"/>
        <n v="38988514"/>
        <n v="18302924"/>
        <n v="50303631"/>
        <n v="66426160"/>
        <n v="35347933"/>
        <n v="38884305"/>
        <n v="35321822"/>
        <n v="45805370"/>
        <n v="27610409"/>
        <n v="52367332"/>
        <n v="30853085"/>
        <n v="29105578"/>
        <n v="31214456"/>
        <n v="59137304"/>
        <n v="67142786"/>
        <n v="83946411"/>
        <n v="66818814"/>
        <n v="5632376"/>
        <n v="43218626"/>
        <n v="43378240"/>
        <n v="63714727"/>
        <n v="86501116"/>
        <n v="50965676"/>
        <n v="33437786"/>
        <n v="60165801"/>
        <n v="38190919"/>
        <n v="45080478"/>
        <n v="43102772"/>
        <n v="35185776"/>
        <n v="15187950"/>
        <n v="40621597"/>
        <n v="29714717"/>
        <n v="60256647"/>
        <n v="68987373"/>
        <n v="16962886"/>
        <n v="122094411"/>
        <n v="32423702"/>
        <n v="24641338"/>
        <n v="15414999"/>
        <n v="77982927"/>
        <n v="39533820"/>
        <n v="88630648"/>
        <n v="18612070"/>
        <n v="54112344"/>
        <n v="98426780"/>
        <n v="73591349"/>
        <n v="29683199"/>
        <n v="36309598"/>
        <n v="79664149"/>
        <n v="35891240"/>
        <n v="62643686"/>
        <n v="41266370"/>
        <n v="79092700"/>
        <n v="46575690"/>
        <n v="39151301"/>
        <n v="99487962"/>
        <n v="26773995"/>
        <n v="41657017"/>
        <n v="13048052"/>
        <n v="78268497"/>
        <n v="35691524"/>
        <n v="30201888"/>
        <n v="59702435"/>
        <n v="24855025"/>
        <n v="59057674"/>
        <n v="89278661"/>
        <n v="38594445"/>
        <n v="107771576"/>
        <n v="24211850"/>
        <n v="43732573"/>
        <n v="90353113"/>
        <n v="8917815"/>
        <n v="32533996"/>
        <n v="56134579"/>
        <n v="51230236"/>
        <n v="34928321"/>
        <n v="80797577"/>
        <n v="69389448"/>
        <n v="32120013"/>
        <n v="18881458"/>
        <n v="4653823"/>
        <n v="40969608"/>
        <n v="56779574"/>
        <n v="16706107"/>
        <n v="56637827"/>
        <n v="59260707"/>
        <n v="98029117"/>
        <n v="15166553"/>
        <n v="29301381"/>
        <n v="84391755"/>
        <n v="70372987"/>
        <n v="36081018"/>
        <n v="80748577"/>
        <n v="47952917"/>
        <n v="43787188"/>
        <n v="29224097"/>
        <n v="16518860"/>
        <n v="12778224"/>
        <n v="31116002"/>
        <n v="68554495"/>
        <n v="63385675"/>
        <n v="19074612"/>
        <n v="66988408"/>
        <n v="58496059"/>
        <n v="20272963"/>
        <n v="29006844"/>
        <n v="32013006"/>
        <n v="17579391"/>
        <n v="12408566"/>
        <n v="43434879"/>
        <n v="55331448"/>
        <n v="32883627"/>
        <n v="31894298"/>
        <n v="35065478"/>
        <n v="16725326"/>
        <n v="45621503"/>
        <n v="75875717"/>
        <n v="80994208"/>
        <n v="16017825"/>
        <n v="42312459"/>
        <n v="60789741"/>
        <n v="38327571"/>
        <n v="32106846"/>
        <n v="10103281"/>
        <n v="27404995"/>
        <n v="37714305"/>
        <n v="90882333"/>
        <n v="52782399"/>
        <n v="41433445"/>
        <n v="91125400"/>
        <n v="61607769"/>
        <n v="58337769"/>
        <n v="34027259"/>
        <n v="84274633"/>
        <n v="135786134"/>
        <n v="35833154"/>
        <n v="45449415"/>
        <n v="32133451"/>
        <n v="50566392"/>
        <n v="98603521"/>
        <n v="63829591"/>
        <n v="77616053"/>
        <n v="99854307"/>
        <n v="74722629"/>
        <n v="29480176"/>
        <n v="60507160"/>
        <n v="21800714"/>
        <n v="15707199"/>
        <n v="12773068"/>
        <n v="39865048"/>
        <n v="41423795"/>
        <n v="39617977"/>
        <n v="29773518"/>
        <n v="21197194"/>
        <n v="63548585"/>
        <n v="64439682"/>
        <n v="100892623"/>
        <n v="37646132"/>
        <n v="55931783"/>
        <n v="41642905"/>
        <n v="21987374"/>
        <n v="28918330"/>
        <n v="71484878"/>
        <n v="120339123"/>
        <n v="29066011"/>
        <n v="49554240"/>
        <n v="45834127"/>
        <n v="58908651"/>
        <n v="65419302"/>
        <n v="73817512"/>
        <n v="18227110"/>
        <n v="89407003"/>
        <n v="65953197"/>
        <n v="34392457"/>
        <n v="51718244"/>
        <n v="11421281"/>
        <n v="63648107"/>
        <n v="84587228"/>
        <n v="47693795"/>
        <n v="24743098"/>
        <n v="32880028"/>
        <n v="43802306"/>
        <n v="36907968"/>
        <n v="103462581"/>
        <n v="53805101"/>
        <n v="29643491"/>
        <n v="87076375"/>
        <n v="13306994"/>
        <n v="63500405"/>
        <n v="28563998"/>
        <n v="57461712"/>
        <n v="15731674"/>
        <n v="27487819"/>
        <n v="31979644"/>
        <n v="33295703"/>
        <n v="92277480"/>
        <n v="12010473"/>
        <n v="52725914"/>
        <n v="32458925"/>
        <n v="91571922"/>
        <n v="43228873"/>
        <n v="18310473"/>
        <n v="87470252"/>
        <n v="39460889"/>
        <n v="67855914"/>
        <n v="8190356"/>
        <n v="36057910"/>
        <n v="12447962"/>
        <n v="28810308"/>
        <n v="107668024"/>
        <n v="53077750"/>
        <n v="54704043"/>
        <n v="116091576"/>
        <n v="47772907"/>
        <n v="15375814"/>
        <n v="91991268"/>
        <n v="42102420"/>
        <n v="43155883"/>
        <n v="56572847"/>
        <n v="45589272"/>
        <n v="28145575"/>
        <n v="7558710"/>
        <n v="55777570"/>
        <n v="66649353"/>
        <n v="57268502"/>
        <n v="41058523"/>
        <n v="25610728"/>
        <n v="18056450"/>
        <n v="87106678"/>
        <n v="88447317"/>
        <n v="38296945"/>
        <n v="18454975"/>
        <n v="62021490"/>
        <n v="62515164"/>
        <n v="63279468"/>
        <n v="42299969"/>
        <n v="27432553"/>
        <n v="38672489"/>
        <n v="40229663"/>
        <n v="39192591"/>
        <n v="8119571"/>
        <n v="61104231"/>
        <n v="47170994"/>
        <n v="28837114"/>
        <n v="40328866"/>
        <n v="77229636"/>
        <n v="30879548"/>
        <n v="90416522"/>
        <n v="14725436"/>
        <n v="60083032"/>
        <n v="80047068"/>
        <n v="41317694"/>
        <n v="64608685"/>
        <n v="37973586"/>
        <n v="29429981"/>
        <n v="58694161"/>
        <n v="33794132"/>
        <n v="16571819"/>
        <n v="12604563"/>
        <n v="61055798"/>
        <n v="69452537"/>
        <n v="27762246"/>
        <n v="47335120"/>
        <n v="44225809"/>
        <n v="52767195"/>
        <n v="68177042"/>
        <n v="33879945"/>
        <n v="25452653"/>
        <n v="41585650"/>
        <n v="118346909"/>
        <n v="49555869"/>
        <n v="48229262"/>
        <n v="46737385"/>
        <n v="22848569"/>
        <n v="43111507"/>
        <n v="21657397"/>
        <n v="20400944"/>
        <n v="51046456"/>
        <n v="21431707"/>
        <n v="19851252"/>
        <n v="87510166"/>
        <n v="38647963"/>
        <n v="19216203"/>
        <n v="72253037"/>
        <n v="57098563"/>
        <n v="27643340"/>
        <n v="47280036"/>
        <n v="36694785"/>
        <n v="50495194"/>
        <n v="69318434"/>
        <n v="33068109"/>
        <n v="55527172"/>
        <n v="21959621"/>
        <n v="40772243"/>
        <n v="15899664"/>
        <n v="9681914"/>
        <n v="28404106"/>
        <n v="127923677"/>
        <n v="13682073"/>
        <n v="13339462"/>
        <n v="52264743"/>
        <n v="38454808"/>
        <n v="48592205"/>
        <n v="50419910"/>
        <n v="44272845"/>
        <n v="31612222"/>
        <n v="28029730"/>
        <n v="41907194"/>
        <n v="39434307"/>
        <n v="70561875"/>
        <n v="46243376"/>
        <n v="100903946"/>
        <n v="63047967"/>
        <n v="23424344"/>
        <n v="42044392"/>
        <n v="37383487"/>
        <n v="32348203"/>
        <n v="83184111"/>
        <n v="61522763"/>
        <n v="43185991"/>
        <n v="103637573"/>
        <n v="80263048"/>
        <n v="11320322"/>
        <n v="14600141"/>
        <n v="56638860"/>
        <n v="62563407"/>
        <n v="8196972"/>
        <n v="75914359"/>
        <n v="20408494"/>
        <n v="35168712"/>
        <n v="53258854"/>
        <n v="50071464"/>
        <n v="61651548"/>
        <n v="7362677"/>
        <n v="32958569"/>
        <n v="28971683"/>
        <n v="46841610"/>
        <n v="26623819"/>
        <n v="34400840"/>
        <n v="21845293"/>
        <n v="31967077"/>
        <n v="41897826"/>
        <n v="42179859"/>
        <n v="87074371"/>
        <n v="40832289"/>
        <n v="89129513"/>
        <n v="73419826"/>
        <n v="43917332"/>
        <n v="55214983"/>
        <n v="29756981"/>
        <n v="30380106"/>
        <n v="44702238"/>
        <n v="38411656"/>
        <n v="51867488"/>
        <n v="15587462"/>
        <n v="39069422"/>
        <n v="48962181"/>
        <n v="80604850"/>
        <n v="80639386"/>
        <n v="15494942"/>
        <n v="32056409"/>
        <n v="39296072"/>
        <n v="33395355"/>
        <n v="66965621"/>
        <n v="88768989"/>
        <n v="53311136"/>
        <n v="53862054"/>
        <n v="20583448"/>
        <n v="119245088"/>
        <n v="66846419"/>
        <n v="63871053"/>
        <n v="45855516"/>
        <n v="44837833"/>
        <n v="48974306"/>
        <n v="25139040"/>
        <n v="100961420"/>
        <n v="8041857"/>
        <n v="41927543"/>
        <n v="67978167"/>
        <n v="20293986"/>
        <n v="23480160"/>
        <n v="40574294"/>
        <n v="72502893"/>
        <n v="26597732"/>
        <n v="19583438"/>
        <n v="90101486"/>
        <n v="63246779"/>
        <n v="52791465"/>
        <n v="38792818"/>
        <n v="54444328"/>
        <n v="103152125"/>
        <n v="31730839"/>
        <n v="16245690"/>
        <n v="12574675"/>
        <n v="49985817"/>
        <n v="15767544"/>
        <n v="30579996"/>
        <n v="68386996"/>
        <n v="35678714"/>
        <n v="62906806"/>
        <n v="49622691"/>
        <n v="63319320"/>
        <n v="44407415"/>
        <n v="134156913"/>
        <n v="20152656"/>
        <n v="30604447"/>
        <n v="38083740"/>
        <n v="30555639"/>
        <n v="133837313"/>
        <n v="74971906"/>
        <n v="40343649"/>
        <n v="68030427"/>
        <n v="48426638"/>
        <n v="84964198"/>
        <n v="56153336"/>
        <n v="53037933"/>
        <n v="36524804"/>
        <n v="81802677"/>
        <n v="89873246"/>
        <n v="42968161"/>
        <n v="32476728"/>
        <n v="9483063"/>
        <n v="32589436"/>
        <n v="7372156"/>
        <n v="66483471"/>
        <n v="48032993"/>
        <n v="56168079"/>
        <n v="63979719"/>
        <n v="28316627"/>
        <n v="41131557"/>
        <n v="63500337"/>
        <n v="62361641"/>
        <n v="28121490"/>
        <n v="34312493"/>
        <n v="69012952"/>
        <n v="4963828"/>
        <n v="29807572"/>
        <n v="33691995"/>
        <n v="6919333"/>
        <n v="74928314"/>
        <n v="42456527"/>
        <n v="9903589"/>
        <n v="79586773"/>
        <n v="18398774"/>
        <n v="25789567"/>
        <n v="58834937"/>
        <n v="22509584"/>
        <n v="76563269"/>
        <n v="27180116"/>
        <n v="14488956"/>
        <n v="60084962"/>
        <n v="75694413"/>
        <n v="35295361"/>
        <n v="37503528"/>
        <n v="107703032"/>
        <n v="70781009"/>
        <n v="7281668"/>
        <n v="53537421"/>
        <n v="25388625"/>
        <n v="57245413"/>
        <n v="57174308"/>
        <n v="62032947"/>
        <n v="48299768"/>
        <n v="17045741"/>
        <n v="37544694"/>
        <n v="68195619"/>
        <n v="37667937"/>
        <n v="59814695"/>
        <n v="49158157"/>
        <n v="36594366"/>
        <n v="9125594"/>
        <n v="25041774"/>
        <n v="36622108"/>
        <n v="20070145"/>
        <n v="70392192"/>
        <n v="63928014"/>
        <n v="22580908"/>
        <n v="65017037"/>
        <n v="49890973"/>
        <n v="82019848"/>
        <n v="24735478"/>
        <n v="40323576"/>
        <n v="58493845"/>
        <n v="64652433"/>
        <n v="38423961"/>
        <n v="49540437"/>
        <n v="39715598"/>
        <n v="18538647"/>
        <n v="70450481"/>
        <n v="6566962"/>
        <n v="42407463"/>
        <n v="15494020"/>
        <n v="42222826"/>
        <n v="45844291"/>
        <n v="49939891"/>
        <n v="102432994"/>
        <n v="81360639"/>
        <n v="29444078"/>
        <n v="9572792"/>
        <n v="20063763"/>
        <n v="14130026"/>
        <n v="62069189"/>
        <n v="25242564"/>
        <n v="42042279"/>
        <n v="17182815"/>
        <n v="39187262"/>
        <n v="23226112"/>
        <n v="64207800"/>
        <n v="35238450"/>
        <n v="11879530"/>
        <n v="30197303"/>
        <n v="126168706"/>
        <n v="57504826"/>
        <n v="46150977"/>
        <n v="87539651"/>
        <n v="39225980"/>
        <n v="43139380"/>
        <n v="98669750"/>
        <n v="68760676"/>
        <n v="22553299"/>
        <n v="49227586"/>
        <n v="44716403"/>
        <n v="28332271"/>
        <n v="54186877"/>
        <n v="28386136"/>
        <n v="37339126"/>
        <n v="29518656"/>
        <n v="27300225"/>
        <n v="42712131"/>
        <n v="63570196"/>
        <n v="21950005"/>
        <n v="71627150"/>
        <n v="53017627"/>
        <n v="14223897"/>
        <n v="50058806"/>
        <n v="61355112"/>
        <n v="32771873"/>
        <n v="30952932"/>
        <n v="27818413"/>
        <n v="89160874"/>
        <n v="23147230"/>
        <n v="68583962"/>
        <n v="22676060"/>
        <n v="29872467"/>
        <n v="24033362"/>
        <n v="64222558"/>
        <n v="71884888"/>
        <n v="8649628"/>
        <n v="52982080"/>
        <n v="36470719"/>
        <n v="108334894"/>
        <n v="40863637"/>
        <n v="51806211"/>
        <n v="29214988"/>
        <n v="58488318"/>
        <n v="52755567"/>
        <n v="45350010"/>
        <n v="29246805"/>
        <n v="43928373"/>
        <n v="54190674"/>
        <n v="29077508"/>
        <n v="62600586"/>
        <n v="42344738"/>
        <n v="71242963"/>
        <n v="33798914"/>
        <n v="50635567"/>
        <n v="62512016"/>
        <n v="71518883"/>
        <n v="68081080"/>
        <n v="39725487"/>
        <n v="56086574"/>
        <n v="32138337"/>
        <n v="54997468"/>
        <n v="38057858"/>
        <n v="73743616"/>
        <n v="42329086"/>
        <n v="36233691"/>
        <n v="70090725"/>
        <n v="48298610"/>
        <n v="38605902"/>
        <n v="41365284"/>
        <n v="74977810"/>
        <n v="17265782"/>
        <n v="60178715"/>
        <n v="10938107"/>
        <n v="16528977"/>
        <n v="20195037"/>
        <n v="46058105"/>
        <n v="38145832"/>
        <n v="32620317"/>
        <n v="93460211"/>
        <n v="26281280"/>
        <n v="55065082"/>
        <n v="28715280"/>
        <n v="36950922"/>
        <n v="55098233"/>
        <n v="57029822"/>
        <n v="51595946"/>
        <n v="56859770"/>
        <n v="13916748"/>
        <n v="25848329"/>
        <n v="70276534"/>
        <n v="30857677"/>
        <n v="52488478"/>
        <n v="58739480"/>
        <n v="45952913"/>
        <n v="57544339"/>
        <n v="20470748"/>
        <n v="26392029"/>
        <n v="69975718"/>
        <n v="41192672"/>
        <n v="38003633"/>
        <n v="39222287"/>
        <n v="29908351"/>
        <n v="44985355"/>
        <n v="57574438"/>
        <n v="24735695"/>
        <n v="9873752"/>
        <n v="13665676"/>
        <n v="96153077"/>
        <n v="9377563"/>
        <n v="59128284"/>
        <n v="37853019"/>
        <n v="14302239"/>
        <n v="12709430"/>
        <n v="41261154"/>
        <n v="48314032"/>
        <n v="65040017"/>
        <n v="47249866"/>
        <n v="16682396"/>
        <n v="25031559"/>
        <n v="98637890"/>
        <n v="4642762"/>
        <n v="41495517"/>
        <n v="49888087"/>
        <n v="52234996"/>
        <n v="52607118"/>
        <n v="5660943"/>
        <n v="59786168"/>
        <n v="65251150"/>
        <n v="71733774"/>
        <n v="19783581"/>
        <n v="57037881"/>
        <n v="64078953"/>
        <n v="15161299"/>
        <n v="19874753"/>
        <n v="56929039"/>
        <n v="77490363"/>
        <n v="52730091"/>
        <n v="99471125"/>
        <n v="23414622"/>
        <n v="62891624"/>
        <n v="46227445"/>
        <n v="55078139"/>
        <n v="44304346"/>
        <n v="89771967"/>
        <n v="28052966"/>
        <n v="89288713"/>
        <n v="108950866"/>
        <n v="70839370"/>
        <n v="44329238"/>
        <n v="37035678"/>
        <n v="32603948"/>
        <n v="62460727"/>
        <n v="38311614"/>
        <n v="46927158"/>
        <n v="96663768"/>
        <n v="11991209"/>
        <n v="92883173"/>
        <n v="73782294"/>
        <n v="71626053"/>
        <n v="86545107"/>
        <n v="38021507"/>
        <n v="23328110"/>
        <n v="57227392"/>
        <n v="48008718"/>
        <n v="52285831"/>
        <n v="85008396"/>
        <n v="55186262"/>
        <n v="29630520"/>
        <n v="64572391"/>
        <n v="127531646"/>
        <n v="31861286"/>
        <n v="15966677"/>
        <n v="35081325"/>
        <n v="19558413"/>
        <n v="80820288"/>
        <n v="39375909"/>
        <n v="46800540"/>
        <n v="54786827"/>
        <n v="54213333"/>
        <n v="43101496"/>
        <n v="66609442"/>
        <n v="38068659"/>
        <n v="62581098"/>
        <n v="57086282"/>
        <n v="76476583"/>
        <n v="34086663"/>
        <n v="26502491"/>
        <n v="21456258"/>
        <n v="68650246"/>
        <n v="27936825"/>
        <n v="61476512"/>
        <n v="24382543"/>
        <n v="60559336"/>
        <n v="52265234"/>
        <n v="51396808"/>
        <n v="24967190"/>
        <n v="41403133"/>
        <n v="50986735"/>
        <n v="76811516"/>
        <n v="60804502"/>
        <n v="11962819"/>
        <n v="21585643"/>
        <n v="24224845"/>
        <n v="79746381"/>
        <n v="46725908"/>
        <n v="56930289"/>
        <n v="16099827"/>
        <n v="43907745"/>
        <n v="45726862"/>
        <n v="45559429"/>
        <n v="28681499"/>
        <n v="73823159"/>
        <n v="29925536"/>
        <n v="18827469"/>
        <n v="42569010"/>
        <n v="64247987"/>
        <n v="18449888"/>
        <n v="29684550"/>
        <n v="36650115"/>
        <n v="58241889"/>
        <n v="39866376"/>
        <n v="22259397"/>
        <n v="10561286"/>
        <n v="44815055"/>
        <n v="78823582"/>
        <n v="74042894"/>
        <n v="28410547"/>
        <n v="112839092"/>
        <n v="119393744"/>
        <n v="18819882"/>
        <n v="88314227"/>
        <n v="27578439"/>
        <n v="69015465"/>
        <n v="87505342"/>
        <n v="69438380"/>
        <n v="86364299"/>
        <n v="19524929"/>
        <n v="6263618"/>
        <n v="76996757"/>
        <n v="28364593"/>
        <n v="44008974"/>
        <n v="24811570"/>
        <n v="56992129"/>
        <n v="26522077"/>
        <n v="9377134"/>
        <n v="33560416"/>
        <n v="24264384"/>
        <n v="69842366"/>
        <n v="67181301"/>
        <n v="106998580"/>
        <n v="18751553"/>
        <n v="71346081"/>
        <n v="85516200"/>
        <n v="43461023"/>
        <n v="16828059"/>
        <n v="24845985"/>
        <n v="42237534"/>
        <n v="69093035"/>
        <n v="47026379"/>
        <n v="16485534"/>
        <n v="61102210"/>
        <n v="30554153"/>
        <n v="45659070"/>
        <n v="65477916"/>
        <n v="63177822"/>
        <n v="36407406"/>
        <n v="16395520"/>
        <n v="37972985"/>
        <n v="42442443"/>
        <n v="37575057"/>
        <n v="95117280"/>
        <n v="107349542"/>
        <n v="26348646"/>
        <n v="15601894"/>
        <n v="66642175"/>
        <n v="61236077"/>
        <n v="14121891"/>
        <n v="53199204"/>
        <n v="70974307"/>
        <n v="53732891"/>
        <n v="32089526"/>
        <n v="23661284"/>
        <n v="28767173"/>
        <n v="25850999"/>
        <n v="47156313"/>
        <n v="19690005"/>
        <n v="29127108"/>
        <n v="85330261"/>
        <n v="31878084"/>
        <n v="108413597"/>
        <n v="79526156"/>
        <n v="12797262"/>
        <n v="75305534"/>
        <n v="33104312"/>
        <n v="57642127"/>
        <n v="86025464"/>
        <n v="77083810"/>
        <n v="39390376"/>
        <n v="50099416"/>
        <n v="19556509"/>
        <n v="47503477"/>
        <n v="104934168"/>
        <n v="68772430"/>
        <n v="53018255"/>
        <n v="51347897"/>
        <n v="32516750"/>
        <n v="23912054"/>
        <n v="19000721"/>
        <n v="24791163"/>
        <n v="36345862"/>
        <n v="60976471"/>
        <n v="13311862"/>
        <n v="14971918"/>
        <n v="43623306"/>
        <n v="102916741"/>
        <n v="25313275"/>
        <n v="18643825"/>
        <n v="40053609"/>
        <n v="31244274"/>
        <n v="118904253"/>
        <n v="46673727"/>
        <n v="53742308"/>
        <n v="37018946"/>
        <n v="86820219"/>
        <n v="40546185"/>
        <n v="13405444"/>
        <n v="62033204"/>
        <n v="45219913"/>
        <n v="33530551"/>
        <n v="36006428"/>
        <n v="19054215"/>
        <n v="39780804"/>
        <n v="55750974"/>
        <n v="47502098"/>
        <n v="58771428"/>
        <n v="45799334"/>
        <n v="84414058"/>
        <n v="82620684"/>
        <n v="131020644"/>
        <n v="86526975"/>
        <n v="40315854"/>
        <n v="51926219"/>
        <n v="30246134"/>
        <n v="34124023"/>
        <n v="47571159"/>
        <n v="34425319"/>
        <n v="43367351"/>
        <n v="36415393"/>
        <n v="26108335"/>
        <n v="12686446"/>
        <n v="30268426"/>
        <n v="38629266"/>
        <n v="81087062"/>
        <n v="47967887"/>
        <n v="91974881"/>
        <n v="43462337"/>
        <n v="53888289"/>
        <n v="31690597"/>
        <n v="40835461"/>
        <n v="109720562"/>
        <n v="14061593"/>
        <n v="50997943"/>
        <n v="82091128"/>
        <n v="42180703"/>
        <n v="45719001"/>
        <n v="37562431"/>
        <n v="103626230"/>
        <n v="83012796"/>
        <n v="81777356"/>
        <n v="55019947"/>
        <n v="18260247"/>
        <n v="21895792"/>
        <n v="28435736"/>
        <n v="2691364"/>
        <n v="40605355"/>
        <n v="43264443"/>
        <n v="16577457"/>
        <n v="55300947"/>
        <n v="4051640"/>
        <n v="20310552"/>
        <n v="101236608"/>
        <n v="37773286"/>
        <n v="92737429"/>
        <n v="49805876"/>
        <n v="65387520"/>
        <n v="24245397"/>
        <n v="38039616"/>
        <n v="36242325"/>
        <n v="64219066"/>
        <n v="48004828"/>
        <n v="72231964"/>
        <n v="78935471"/>
        <n v="108282897"/>
        <n v="53967821"/>
        <n v="74717935"/>
        <n v="48518468"/>
        <n v="94011887"/>
        <n v="31617510"/>
        <n v="34445594"/>
        <n v="33824817"/>
        <n v="36816985"/>
        <n v="51240121"/>
        <n v="61750912"/>
        <n v="23181076"/>
        <n v="95706468"/>
      </sharedItems>
    </cacheField>
  </cacheFields>
  <extLst>
    <ext xmlns:x14="http://schemas.microsoft.com/office/spreadsheetml/2009/9/main" uri="{725AE2AE-9491-48be-B2B4-4EB974FC3084}">
      <x14:pivotCacheDefinition pivotCacheId="4033330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x v="0"/>
    <n v="82234"/>
    <n v="315372"/>
    <x v="0"/>
    <n v="0.97"/>
    <n v="6.29"/>
    <n v="1.2"/>
    <n v="8"/>
    <x v="0"/>
    <n v="26643816"/>
    <x v="0"/>
  </r>
  <r>
    <x v="1"/>
    <x v="1"/>
    <x v="0"/>
    <x v="1"/>
    <x v="1"/>
    <x v="1"/>
    <n v="82291"/>
    <n v="447798"/>
    <x v="1"/>
    <n v="0.97"/>
    <n v="6.29"/>
    <n v="1.2"/>
    <n v="7"/>
    <x v="1"/>
    <n v="45753796"/>
    <x v="1"/>
  </r>
  <r>
    <x v="2"/>
    <x v="2"/>
    <x v="1"/>
    <x v="2"/>
    <x v="1"/>
    <x v="2"/>
    <n v="40594"/>
    <n v="259755"/>
    <x v="2"/>
    <n v="0.97"/>
    <n v="6.29"/>
    <n v="1.2"/>
    <n v="7"/>
    <x v="2"/>
    <n v="6170288"/>
    <x v="2"/>
  </r>
  <r>
    <x v="3"/>
    <x v="3"/>
    <x v="0"/>
    <x v="3"/>
    <x v="1"/>
    <x v="1"/>
    <n v="42371"/>
    <n v="323541"/>
    <x v="3"/>
    <n v="0.97"/>
    <n v="6.29"/>
    <n v="1.2"/>
    <n v="5"/>
    <x v="3"/>
    <n v="30930830"/>
    <x v="3"/>
  </r>
  <r>
    <x v="0"/>
    <x v="2"/>
    <x v="2"/>
    <x v="4"/>
    <x v="0"/>
    <x v="3"/>
    <n v="82315"/>
    <n v="482015"/>
    <x v="4"/>
    <n v="0.97"/>
    <n v="6.29"/>
    <n v="1.2"/>
    <n v="2"/>
    <x v="4"/>
    <n v="95156140"/>
    <x v="4"/>
  </r>
  <r>
    <x v="4"/>
    <x v="2"/>
    <x v="3"/>
    <x v="3"/>
    <x v="1"/>
    <x v="3"/>
    <n v="118564"/>
    <n v="349155"/>
    <x v="5"/>
    <n v="0.97"/>
    <n v="6.29"/>
    <n v="1.2"/>
    <n v="6"/>
    <x v="5"/>
    <n v="81453468"/>
    <x v="5"/>
  </r>
  <r>
    <x v="5"/>
    <x v="4"/>
    <x v="1"/>
    <x v="1"/>
    <x v="1"/>
    <x v="3"/>
    <n v="114526"/>
    <n v="129183"/>
    <x v="6"/>
    <n v="0.97"/>
    <n v="6.29"/>
    <n v="1.2"/>
    <n v="10"/>
    <x v="6"/>
    <n v="50276914"/>
    <x v="6"/>
  </r>
  <r>
    <x v="0"/>
    <x v="4"/>
    <x v="1"/>
    <x v="5"/>
    <x v="0"/>
    <x v="3"/>
    <n v="51626"/>
    <n v="405398"/>
    <x v="7"/>
    <n v="0.97"/>
    <n v="6.29"/>
    <n v="1.2"/>
    <n v="3"/>
    <x v="7"/>
    <n v="25245114"/>
    <x v="7"/>
  </r>
  <r>
    <x v="2"/>
    <x v="5"/>
    <x v="4"/>
    <x v="6"/>
    <x v="1"/>
    <x v="0"/>
    <n v="42130"/>
    <n v="487480"/>
    <x v="8"/>
    <n v="0.97"/>
    <n v="6.29"/>
    <n v="1.2"/>
    <n v="4"/>
    <x v="8"/>
    <n v="18326550"/>
    <x v="8"/>
  </r>
  <r>
    <x v="3"/>
    <x v="1"/>
    <x v="5"/>
    <x v="7"/>
    <x v="1"/>
    <x v="0"/>
    <n v="41828"/>
    <n v="92317"/>
    <x v="9"/>
    <n v="0.97"/>
    <n v="6.29"/>
    <n v="1.2"/>
    <n v="10"/>
    <x v="9"/>
    <n v="45174240"/>
    <x v="9"/>
  </r>
  <r>
    <x v="1"/>
    <x v="5"/>
    <x v="5"/>
    <x v="2"/>
    <x v="1"/>
    <x v="1"/>
    <n v="92514"/>
    <n v="228986"/>
    <x v="10"/>
    <n v="0.97"/>
    <n v="6.29"/>
    <n v="1.2"/>
    <n v="2"/>
    <x v="10"/>
    <n v="41353758"/>
    <x v="10"/>
  </r>
  <r>
    <x v="2"/>
    <x v="1"/>
    <x v="2"/>
    <x v="8"/>
    <x v="0"/>
    <x v="2"/>
    <n v="87664"/>
    <n v="265705"/>
    <x v="11"/>
    <n v="0.97"/>
    <n v="6.29"/>
    <n v="1.2"/>
    <n v="2"/>
    <x v="11"/>
    <n v="72498128"/>
    <x v="11"/>
  </r>
  <r>
    <x v="2"/>
    <x v="6"/>
    <x v="6"/>
    <x v="8"/>
    <x v="0"/>
    <x v="3"/>
    <n v="52883"/>
    <n v="414633"/>
    <x v="12"/>
    <n v="0.97"/>
    <n v="6.29"/>
    <n v="1.2"/>
    <n v="8"/>
    <x v="12"/>
    <n v="37652696"/>
    <x v="12"/>
  </r>
  <r>
    <x v="5"/>
    <x v="0"/>
    <x v="7"/>
    <x v="8"/>
    <x v="0"/>
    <x v="1"/>
    <n v="78059"/>
    <n v="226326"/>
    <x v="13"/>
    <n v="0.97"/>
    <n v="6.29"/>
    <n v="1.2"/>
    <n v="8"/>
    <x v="13"/>
    <n v="92187679"/>
    <x v="13"/>
  </r>
  <r>
    <x v="6"/>
    <x v="2"/>
    <x v="7"/>
    <x v="0"/>
    <x v="0"/>
    <x v="0"/>
    <n v="119078"/>
    <n v="352240"/>
    <x v="14"/>
    <n v="0.97"/>
    <n v="6.29"/>
    <n v="1.2"/>
    <n v="10"/>
    <x v="14"/>
    <n v="36556946"/>
    <x v="14"/>
  </r>
  <r>
    <x v="3"/>
    <x v="6"/>
    <x v="8"/>
    <x v="8"/>
    <x v="0"/>
    <x v="0"/>
    <n v="77932"/>
    <n v="365929"/>
    <x v="15"/>
    <n v="0.97"/>
    <n v="6.29"/>
    <n v="1.2"/>
    <n v="6"/>
    <x v="15"/>
    <n v="56500700"/>
    <x v="15"/>
  </r>
  <r>
    <x v="7"/>
    <x v="7"/>
    <x v="2"/>
    <x v="7"/>
    <x v="1"/>
    <x v="2"/>
    <n v="96269"/>
    <n v="102344"/>
    <x v="16"/>
    <n v="0.97"/>
    <n v="6.29"/>
    <n v="1.2"/>
    <n v="5"/>
    <x v="16"/>
    <n v="56606172"/>
    <x v="16"/>
  </r>
  <r>
    <x v="2"/>
    <x v="8"/>
    <x v="1"/>
    <x v="6"/>
    <x v="1"/>
    <x v="2"/>
    <n v="110986"/>
    <n v="296060"/>
    <x v="17"/>
    <n v="0.97"/>
    <n v="6.29"/>
    <n v="1.2"/>
    <n v="8"/>
    <x v="17"/>
    <n v="71474984"/>
    <x v="17"/>
  </r>
  <r>
    <x v="6"/>
    <x v="9"/>
    <x v="2"/>
    <x v="8"/>
    <x v="0"/>
    <x v="2"/>
    <n v="37035"/>
    <n v="432526"/>
    <x v="18"/>
    <n v="0.97"/>
    <n v="6.29"/>
    <n v="1.2"/>
    <n v="4"/>
    <x v="18"/>
    <n v="19776690"/>
    <x v="18"/>
  </r>
  <r>
    <x v="7"/>
    <x v="1"/>
    <x v="2"/>
    <x v="3"/>
    <x v="1"/>
    <x v="1"/>
    <n v="75745"/>
    <n v="249618"/>
    <x v="19"/>
    <n v="0.97"/>
    <n v="6.29"/>
    <n v="1.2"/>
    <n v="4"/>
    <x v="19"/>
    <n v="76047980"/>
    <x v="19"/>
  </r>
  <r>
    <x v="3"/>
    <x v="7"/>
    <x v="2"/>
    <x v="3"/>
    <x v="1"/>
    <x v="0"/>
    <n v="52241"/>
    <n v="209484"/>
    <x v="20"/>
    <n v="0.97"/>
    <n v="6.29"/>
    <n v="1.2"/>
    <n v="5"/>
    <x v="20"/>
    <n v="28419104"/>
    <x v="20"/>
  </r>
  <r>
    <x v="8"/>
    <x v="8"/>
    <x v="5"/>
    <x v="0"/>
    <x v="0"/>
    <x v="0"/>
    <n v="87975"/>
    <n v="160489"/>
    <x v="21"/>
    <n v="0.97"/>
    <n v="6.29"/>
    <n v="1.2"/>
    <n v="1"/>
    <x v="21"/>
    <n v="66069225"/>
    <x v="21"/>
  </r>
  <r>
    <x v="4"/>
    <x v="3"/>
    <x v="2"/>
    <x v="7"/>
    <x v="1"/>
    <x v="2"/>
    <n v="58154"/>
    <n v="494874"/>
    <x v="9"/>
    <n v="0.97"/>
    <n v="6.29"/>
    <n v="1.2"/>
    <n v="1"/>
    <x v="22"/>
    <n v="61701394"/>
    <x v="22"/>
  </r>
  <r>
    <x v="6"/>
    <x v="10"/>
    <x v="3"/>
    <x v="6"/>
    <x v="1"/>
    <x v="3"/>
    <n v="60625"/>
    <n v="492765"/>
    <x v="22"/>
    <n v="0.97"/>
    <n v="6.29"/>
    <n v="1.2"/>
    <n v="2"/>
    <x v="23"/>
    <n v="57836250"/>
    <x v="23"/>
  </r>
  <r>
    <x v="9"/>
    <x v="0"/>
    <x v="7"/>
    <x v="2"/>
    <x v="1"/>
    <x v="2"/>
    <n v="79950"/>
    <n v="308667"/>
    <x v="23"/>
    <n v="0.97"/>
    <n v="6.29"/>
    <n v="1.2"/>
    <n v="8"/>
    <x v="24"/>
    <n v="53806350"/>
    <x v="24"/>
  </r>
  <r>
    <x v="8"/>
    <x v="5"/>
    <x v="8"/>
    <x v="1"/>
    <x v="1"/>
    <x v="1"/>
    <n v="91396"/>
    <n v="61549"/>
    <x v="24"/>
    <n v="0.97"/>
    <n v="6.29"/>
    <n v="1.2"/>
    <n v="7"/>
    <x v="25"/>
    <n v="1370940"/>
    <x v="25"/>
  </r>
  <r>
    <x v="4"/>
    <x v="5"/>
    <x v="3"/>
    <x v="6"/>
    <x v="1"/>
    <x v="2"/>
    <n v="48331"/>
    <n v="75739"/>
    <x v="25"/>
    <n v="0.97"/>
    <n v="6.29"/>
    <n v="1.2"/>
    <n v="10"/>
    <x v="26"/>
    <n v="5171417"/>
    <x v="26"/>
  </r>
  <r>
    <x v="5"/>
    <x v="6"/>
    <x v="8"/>
    <x v="1"/>
    <x v="1"/>
    <x v="2"/>
    <n v="98927"/>
    <n v="333353"/>
    <x v="26"/>
    <n v="0.97"/>
    <n v="6.29"/>
    <n v="1.2"/>
    <n v="9"/>
    <x v="27"/>
    <n v="51738821"/>
    <x v="27"/>
  </r>
  <r>
    <x v="0"/>
    <x v="4"/>
    <x v="4"/>
    <x v="5"/>
    <x v="0"/>
    <x v="1"/>
    <n v="119719"/>
    <n v="157051"/>
    <x v="27"/>
    <n v="0.97"/>
    <n v="6.29"/>
    <n v="1.2"/>
    <n v="5"/>
    <x v="28"/>
    <n v="93620258"/>
    <x v="28"/>
  </r>
  <r>
    <x v="1"/>
    <x v="8"/>
    <x v="8"/>
    <x v="1"/>
    <x v="1"/>
    <x v="2"/>
    <n v="98014"/>
    <n v="65116"/>
    <x v="28"/>
    <n v="0.97"/>
    <n v="6.29"/>
    <n v="1.2"/>
    <n v="2"/>
    <x v="29"/>
    <n v="38911558"/>
    <x v="29"/>
  </r>
  <r>
    <x v="9"/>
    <x v="10"/>
    <x v="7"/>
    <x v="4"/>
    <x v="0"/>
    <x v="0"/>
    <n v="74346"/>
    <n v="70045"/>
    <x v="29"/>
    <n v="0.97"/>
    <n v="6.29"/>
    <n v="1.2"/>
    <n v="7"/>
    <x v="30"/>
    <n v="57469458"/>
    <x v="30"/>
  </r>
  <r>
    <x v="5"/>
    <x v="7"/>
    <x v="7"/>
    <x v="3"/>
    <x v="1"/>
    <x v="3"/>
    <n v="105411"/>
    <n v="469543"/>
    <x v="26"/>
    <n v="0.97"/>
    <n v="6.29"/>
    <n v="1.2"/>
    <n v="8"/>
    <x v="31"/>
    <n v="18868569"/>
    <x v="31"/>
  </r>
  <r>
    <x v="3"/>
    <x v="0"/>
    <x v="2"/>
    <x v="7"/>
    <x v="1"/>
    <x v="2"/>
    <n v="89478"/>
    <n v="85709"/>
    <x v="30"/>
    <n v="0.97"/>
    <n v="6.29"/>
    <n v="1.2"/>
    <n v="7"/>
    <x v="32"/>
    <n v="58339656"/>
    <x v="32"/>
  </r>
  <r>
    <x v="5"/>
    <x v="8"/>
    <x v="9"/>
    <x v="9"/>
    <x v="0"/>
    <x v="1"/>
    <n v="47254"/>
    <n v="355761"/>
    <x v="31"/>
    <n v="0.97"/>
    <n v="6.29"/>
    <n v="1.2"/>
    <n v="7"/>
    <x v="33"/>
    <n v="18381806"/>
    <x v="33"/>
  </r>
  <r>
    <x v="0"/>
    <x v="10"/>
    <x v="4"/>
    <x v="0"/>
    <x v="0"/>
    <x v="3"/>
    <n v="90734"/>
    <n v="207977"/>
    <x v="32"/>
    <n v="0.97"/>
    <n v="6.29"/>
    <n v="1.2"/>
    <n v="5"/>
    <x v="34"/>
    <n v="19326342"/>
    <x v="34"/>
  </r>
  <r>
    <x v="3"/>
    <x v="9"/>
    <x v="1"/>
    <x v="4"/>
    <x v="0"/>
    <x v="1"/>
    <n v="63621"/>
    <n v="253675"/>
    <x v="33"/>
    <n v="0.97"/>
    <n v="6.29"/>
    <n v="1.2"/>
    <n v="2"/>
    <x v="35"/>
    <n v="60121845"/>
    <x v="35"/>
  </r>
  <r>
    <x v="9"/>
    <x v="1"/>
    <x v="0"/>
    <x v="1"/>
    <x v="1"/>
    <x v="3"/>
    <n v="111441"/>
    <n v="279167"/>
    <x v="34"/>
    <n v="0.97"/>
    <n v="6.29"/>
    <n v="1.2"/>
    <n v="6"/>
    <x v="36"/>
    <n v="78565905"/>
    <x v="36"/>
  </r>
  <r>
    <x v="0"/>
    <x v="5"/>
    <x v="8"/>
    <x v="8"/>
    <x v="0"/>
    <x v="3"/>
    <n v="81121"/>
    <n v="431923"/>
    <x v="35"/>
    <n v="0.97"/>
    <n v="6.29"/>
    <n v="1.2"/>
    <n v="4"/>
    <x v="37"/>
    <n v="29852528"/>
    <x v="37"/>
  </r>
  <r>
    <x v="7"/>
    <x v="7"/>
    <x v="9"/>
    <x v="7"/>
    <x v="1"/>
    <x v="2"/>
    <n v="116418"/>
    <n v="355063"/>
    <x v="36"/>
    <n v="0.97"/>
    <n v="6.29"/>
    <n v="1.2"/>
    <n v="10"/>
    <x v="38"/>
    <n v="86498574"/>
    <x v="38"/>
  </r>
  <r>
    <x v="1"/>
    <x v="5"/>
    <x v="2"/>
    <x v="4"/>
    <x v="0"/>
    <x v="0"/>
    <n v="95197"/>
    <n v="395665"/>
    <x v="37"/>
    <n v="0.97"/>
    <n v="6.29"/>
    <n v="1.2"/>
    <n v="2"/>
    <x v="39"/>
    <n v="76633585"/>
    <x v="39"/>
  </r>
  <r>
    <x v="9"/>
    <x v="7"/>
    <x v="5"/>
    <x v="0"/>
    <x v="0"/>
    <x v="2"/>
    <n v="119577"/>
    <n v="269222"/>
    <x v="38"/>
    <n v="0.97"/>
    <n v="6.29"/>
    <n v="1.2"/>
    <n v="9"/>
    <x v="40"/>
    <n v="45439260"/>
    <x v="40"/>
  </r>
  <r>
    <x v="7"/>
    <x v="6"/>
    <x v="1"/>
    <x v="3"/>
    <x v="1"/>
    <x v="1"/>
    <n v="77431"/>
    <n v="239518"/>
    <x v="39"/>
    <n v="0.97"/>
    <n v="6.29"/>
    <n v="1.2"/>
    <n v="7"/>
    <x v="41"/>
    <n v="42045033"/>
    <x v="41"/>
  </r>
  <r>
    <x v="4"/>
    <x v="4"/>
    <x v="6"/>
    <x v="7"/>
    <x v="1"/>
    <x v="1"/>
    <n v="39837"/>
    <n v="233500"/>
    <x v="40"/>
    <n v="0.97"/>
    <n v="6.29"/>
    <n v="1.2"/>
    <n v="6"/>
    <x v="42"/>
    <n v="17090073"/>
    <x v="42"/>
  </r>
  <r>
    <x v="9"/>
    <x v="7"/>
    <x v="9"/>
    <x v="0"/>
    <x v="0"/>
    <x v="3"/>
    <n v="118163"/>
    <n v="491110"/>
    <x v="41"/>
    <n v="0.97"/>
    <n v="6.29"/>
    <n v="1.2"/>
    <n v="5"/>
    <x v="43"/>
    <n v="78105743"/>
    <x v="43"/>
  </r>
  <r>
    <x v="4"/>
    <x v="5"/>
    <x v="5"/>
    <x v="5"/>
    <x v="0"/>
    <x v="3"/>
    <n v="106232"/>
    <n v="318591"/>
    <x v="42"/>
    <n v="0.97"/>
    <n v="6.29"/>
    <n v="1.2"/>
    <n v="3"/>
    <x v="44"/>
    <n v="106338232"/>
    <x v="44"/>
  </r>
  <r>
    <x v="3"/>
    <x v="6"/>
    <x v="4"/>
    <x v="5"/>
    <x v="0"/>
    <x v="0"/>
    <n v="83994"/>
    <n v="55499"/>
    <x v="43"/>
    <n v="0.97"/>
    <n v="6.29"/>
    <n v="1.2"/>
    <n v="10"/>
    <x v="45"/>
    <n v="34689522"/>
    <x v="45"/>
  </r>
  <r>
    <x v="7"/>
    <x v="7"/>
    <x v="2"/>
    <x v="0"/>
    <x v="0"/>
    <x v="2"/>
    <n v="114079"/>
    <n v="89041"/>
    <x v="35"/>
    <n v="0.97"/>
    <n v="6.29"/>
    <n v="1.2"/>
    <n v="10"/>
    <x v="46"/>
    <n v="45175284"/>
    <x v="46"/>
  </r>
  <r>
    <x v="1"/>
    <x v="9"/>
    <x v="1"/>
    <x v="4"/>
    <x v="0"/>
    <x v="1"/>
    <n v="47615"/>
    <n v="343459"/>
    <x v="44"/>
    <n v="0.97"/>
    <n v="6.29"/>
    <n v="1.2"/>
    <n v="4"/>
    <x v="47"/>
    <n v="10713375"/>
    <x v="47"/>
  </r>
  <r>
    <x v="0"/>
    <x v="4"/>
    <x v="1"/>
    <x v="7"/>
    <x v="1"/>
    <x v="3"/>
    <n v="36466"/>
    <n v="182371"/>
    <x v="45"/>
    <n v="0.97"/>
    <n v="6.29"/>
    <n v="1.2"/>
    <n v="3"/>
    <x v="48"/>
    <n v="36174272"/>
    <x v="48"/>
  </r>
  <r>
    <x v="2"/>
    <x v="7"/>
    <x v="1"/>
    <x v="4"/>
    <x v="0"/>
    <x v="0"/>
    <n v="65771"/>
    <n v="432650"/>
    <x v="46"/>
    <n v="0.97"/>
    <n v="6.29"/>
    <n v="1.2"/>
    <n v="8"/>
    <x v="49"/>
    <n v="31306996"/>
    <x v="49"/>
  </r>
  <r>
    <x v="5"/>
    <x v="6"/>
    <x v="4"/>
    <x v="2"/>
    <x v="1"/>
    <x v="1"/>
    <n v="118886"/>
    <n v="186066"/>
    <x v="47"/>
    <n v="0.97"/>
    <n v="6.29"/>
    <n v="1.2"/>
    <n v="3"/>
    <x v="50"/>
    <n v="42442302"/>
    <x v="50"/>
  </r>
  <r>
    <x v="8"/>
    <x v="3"/>
    <x v="8"/>
    <x v="1"/>
    <x v="1"/>
    <x v="3"/>
    <n v="100911"/>
    <n v="276486"/>
    <x v="4"/>
    <n v="0.97"/>
    <n v="6.29"/>
    <n v="1.2"/>
    <n v="7"/>
    <x v="51"/>
    <n v="115543095"/>
    <x v="51"/>
  </r>
  <r>
    <x v="1"/>
    <x v="8"/>
    <x v="6"/>
    <x v="2"/>
    <x v="1"/>
    <x v="1"/>
    <n v="55746"/>
    <n v="262235"/>
    <x v="48"/>
    <n v="0.97"/>
    <n v="6.29"/>
    <n v="1.2"/>
    <n v="7"/>
    <x v="52"/>
    <n v="37851534"/>
    <x v="52"/>
  </r>
  <r>
    <x v="7"/>
    <x v="11"/>
    <x v="4"/>
    <x v="5"/>
    <x v="0"/>
    <x v="0"/>
    <n v="95739"/>
    <n v="307831"/>
    <x v="49"/>
    <n v="0.97"/>
    <n v="6.29"/>
    <n v="1.2"/>
    <n v="7"/>
    <x v="53"/>
    <n v="17615976"/>
    <x v="53"/>
  </r>
  <r>
    <x v="2"/>
    <x v="10"/>
    <x v="0"/>
    <x v="3"/>
    <x v="1"/>
    <x v="0"/>
    <n v="108369"/>
    <n v="450705"/>
    <x v="40"/>
    <n v="0.97"/>
    <n v="6.29"/>
    <n v="1.2"/>
    <n v="7"/>
    <x v="54"/>
    <n v="22215645"/>
    <x v="54"/>
  </r>
  <r>
    <x v="1"/>
    <x v="11"/>
    <x v="6"/>
    <x v="6"/>
    <x v="1"/>
    <x v="1"/>
    <n v="36893"/>
    <n v="403791"/>
    <x v="50"/>
    <n v="0.97"/>
    <n v="6.29"/>
    <n v="1.2"/>
    <n v="2"/>
    <x v="18"/>
    <n v="19700862"/>
    <x v="55"/>
  </r>
  <r>
    <x v="7"/>
    <x v="3"/>
    <x v="7"/>
    <x v="1"/>
    <x v="1"/>
    <x v="2"/>
    <n v="65573"/>
    <n v="344499"/>
    <x v="51"/>
    <n v="0.97"/>
    <n v="6.29"/>
    <n v="1.2"/>
    <n v="10"/>
    <x v="55"/>
    <n v="37901194"/>
    <x v="56"/>
  </r>
  <r>
    <x v="6"/>
    <x v="11"/>
    <x v="2"/>
    <x v="5"/>
    <x v="0"/>
    <x v="1"/>
    <n v="75874"/>
    <n v="385949"/>
    <x v="52"/>
    <n v="0.97"/>
    <n v="6.29"/>
    <n v="1.2"/>
    <n v="3"/>
    <x v="56"/>
    <n v="22155208"/>
    <x v="57"/>
  </r>
  <r>
    <x v="6"/>
    <x v="3"/>
    <x v="4"/>
    <x v="4"/>
    <x v="0"/>
    <x v="3"/>
    <n v="112362"/>
    <n v="380511"/>
    <x v="53"/>
    <n v="0.97"/>
    <n v="6.29"/>
    <n v="1.2"/>
    <n v="10"/>
    <x v="57"/>
    <n v="55619190"/>
    <x v="58"/>
  </r>
  <r>
    <x v="4"/>
    <x v="0"/>
    <x v="5"/>
    <x v="4"/>
    <x v="0"/>
    <x v="2"/>
    <n v="68367"/>
    <n v="422050"/>
    <x v="54"/>
    <n v="0.97"/>
    <n v="6.29"/>
    <n v="1.2"/>
    <n v="9"/>
    <x v="58"/>
    <n v="39379392"/>
    <x v="59"/>
  </r>
  <r>
    <x v="1"/>
    <x v="3"/>
    <x v="6"/>
    <x v="4"/>
    <x v="0"/>
    <x v="3"/>
    <n v="56199"/>
    <n v="429553"/>
    <x v="55"/>
    <n v="0.97"/>
    <n v="6.29"/>
    <n v="1.2"/>
    <n v="3"/>
    <x v="18"/>
    <n v="30010266"/>
    <x v="60"/>
  </r>
  <r>
    <x v="6"/>
    <x v="3"/>
    <x v="0"/>
    <x v="3"/>
    <x v="1"/>
    <x v="1"/>
    <n v="109328"/>
    <n v="389499"/>
    <x v="56"/>
    <n v="0.97"/>
    <n v="6.29"/>
    <n v="1.2"/>
    <n v="2"/>
    <x v="59"/>
    <n v="49525584"/>
    <x v="61"/>
  </r>
  <r>
    <x v="7"/>
    <x v="2"/>
    <x v="7"/>
    <x v="2"/>
    <x v="1"/>
    <x v="2"/>
    <n v="92724"/>
    <n v="166220"/>
    <x v="57"/>
    <n v="0.97"/>
    <n v="6.29"/>
    <n v="1.2"/>
    <n v="9"/>
    <x v="60"/>
    <n v="99214680"/>
    <x v="62"/>
  </r>
  <r>
    <x v="4"/>
    <x v="3"/>
    <x v="8"/>
    <x v="6"/>
    <x v="1"/>
    <x v="3"/>
    <n v="71405"/>
    <n v="271421"/>
    <x v="58"/>
    <n v="0.97"/>
    <n v="6.29"/>
    <n v="1.2"/>
    <n v="10"/>
    <x v="61"/>
    <n v="24848940"/>
    <x v="63"/>
  </r>
  <r>
    <x v="7"/>
    <x v="9"/>
    <x v="5"/>
    <x v="4"/>
    <x v="0"/>
    <x v="1"/>
    <n v="50989"/>
    <n v="399317"/>
    <x v="59"/>
    <n v="0.97"/>
    <n v="6.29"/>
    <n v="1.2"/>
    <n v="9"/>
    <x v="62"/>
    <n v="33193839"/>
    <x v="64"/>
  </r>
  <r>
    <x v="4"/>
    <x v="8"/>
    <x v="6"/>
    <x v="9"/>
    <x v="0"/>
    <x v="1"/>
    <n v="63931"/>
    <n v="314140"/>
    <x v="60"/>
    <n v="0.97"/>
    <n v="6.29"/>
    <n v="1.2"/>
    <n v="4"/>
    <x v="14"/>
    <n v="19626817"/>
    <x v="65"/>
  </r>
  <r>
    <x v="1"/>
    <x v="1"/>
    <x v="2"/>
    <x v="1"/>
    <x v="1"/>
    <x v="2"/>
    <n v="44290"/>
    <n v="301071"/>
    <x v="61"/>
    <n v="0.97"/>
    <n v="6.29"/>
    <n v="1.2"/>
    <n v="9"/>
    <x v="63"/>
    <n v="42119790"/>
    <x v="66"/>
  </r>
  <r>
    <x v="2"/>
    <x v="7"/>
    <x v="5"/>
    <x v="7"/>
    <x v="1"/>
    <x v="1"/>
    <n v="73367"/>
    <n v="356531"/>
    <x v="62"/>
    <n v="0.97"/>
    <n v="6.29"/>
    <n v="1.2"/>
    <n v="3"/>
    <x v="64"/>
    <n v="28833231"/>
    <x v="67"/>
  </r>
  <r>
    <x v="0"/>
    <x v="10"/>
    <x v="7"/>
    <x v="9"/>
    <x v="0"/>
    <x v="0"/>
    <n v="114878"/>
    <n v="53089"/>
    <x v="63"/>
    <n v="0.97"/>
    <n v="6.29"/>
    <n v="1.2"/>
    <n v="7"/>
    <x v="59"/>
    <n v="52039734"/>
    <x v="68"/>
  </r>
  <r>
    <x v="9"/>
    <x v="4"/>
    <x v="5"/>
    <x v="6"/>
    <x v="1"/>
    <x v="3"/>
    <n v="114481"/>
    <n v="410971"/>
    <x v="64"/>
    <n v="0.97"/>
    <n v="6.29"/>
    <n v="1.2"/>
    <n v="7"/>
    <x v="65"/>
    <n v="136232390"/>
    <x v="69"/>
  </r>
  <r>
    <x v="2"/>
    <x v="8"/>
    <x v="3"/>
    <x v="3"/>
    <x v="1"/>
    <x v="3"/>
    <n v="111298"/>
    <n v="332803"/>
    <x v="65"/>
    <n v="0.97"/>
    <n v="6.29"/>
    <n v="1.2"/>
    <n v="8"/>
    <x v="66"/>
    <n v="94269406"/>
    <x v="70"/>
  </r>
  <r>
    <x v="3"/>
    <x v="5"/>
    <x v="9"/>
    <x v="6"/>
    <x v="1"/>
    <x v="1"/>
    <n v="65133"/>
    <n v="357322"/>
    <x v="66"/>
    <n v="0.97"/>
    <n v="6.29"/>
    <n v="1.2"/>
    <n v="10"/>
    <x v="67"/>
    <n v="7620561"/>
    <x v="71"/>
  </r>
  <r>
    <x v="7"/>
    <x v="1"/>
    <x v="8"/>
    <x v="7"/>
    <x v="1"/>
    <x v="1"/>
    <n v="62052"/>
    <n v="145965"/>
    <x v="67"/>
    <n v="0.97"/>
    <n v="6.29"/>
    <n v="1.2"/>
    <n v="4"/>
    <x v="68"/>
    <n v="32142936"/>
    <x v="72"/>
  </r>
  <r>
    <x v="3"/>
    <x v="0"/>
    <x v="7"/>
    <x v="1"/>
    <x v="1"/>
    <x v="0"/>
    <n v="75475"/>
    <n v="131268"/>
    <x v="68"/>
    <n v="0.97"/>
    <n v="6.29"/>
    <n v="1.2"/>
    <n v="3"/>
    <x v="69"/>
    <n v="46039750"/>
    <x v="73"/>
  </r>
  <r>
    <x v="2"/>
    <x v="0"/>
    <x v="5"/>
    <x v="7"/>
    <x v="1"/>
    <x v="2"/>
    <n v="117666"/>
    <n v="397186"/>
    <x v="69"/>
    <n v="0.97"/>
    <n v="6.29"/>
    <n v="1.2"/>
    <n v="3"/>
    <x v="70"/>
    <n v="30593160"/>
    <x v="74"/>
  </r>
  <r>
    <x v="4"/>
    <x v="3"/>
    <x v="9"/>
    <x v="0"/>
    <x v="0"/>
    <x v="1"/>
    <n v="92656"/>
    <n v="418615"/>
    <x v="70"/>
    <n v="0.97"/>
    <n v="6.29"/>
    <n v="1.2"/>
    <n v="5"/>
    <x v="71"/>
    <n v="103311440"/>
    <x v="75"/>
  </r>
  <r>
    <x v="9"/>
    <x v="8"/>
    <x v="9"/>
    <x v="1"/>
    <x v="1"/>
    <x v="1"/>
    <n v="39633"/>
    <n v="251798"/>
    <x v="71"/>
    <n v="0.97"/>
    <n v="6.29"/>
    <n v="1.2"/>
    <n v="1"/>
    <x v="72"/>
    <n v="26831541"/>
    <x v="76"/>
  </r>
  <r>
    <x v="9"/>
    <x v="6"/>
    <x v="5"/>
    <x v="6"/>
    <x v="1"/>
    <x v="1"/>
    <n v="52304"/>
    <n v="382255"/>
    <x v="72"/>
    <n v="0.97"/>
    <n v="6.29"/>
    <n v="1.2"/>
    <n v="10"/>
    <x v="73"/>
    <n v="19352480"/>
    <x v="77"/>
  </r>
  <r>
    <x v="8"/>
    <x v="2"/>
    <x v="2"/>
    <x v="4"/>
    <x v="0"/>
    <x v="1"/>
    <n v="81546"/>
    <n v="287103"/>
    <x v="73"/>
    <n v="0.97"/>
    <n v="6.29"/>
    <n v="1.2"/>
    <n v="3"/>
    <x v="74"/>
    <n v="43382472"/>
    <x v="78"/>
  </r>
  <r>
    <x v="9"/>
    <x v="11"/>
    <x v="3"/>
    <x v="6"/>
    <x v="1"/>
    <x v="3"/>
    <n v="42008"/>
    <n v="294754"/>
    <x v="74"/>
    <n v="0.97"/>
    <n v="6.29"/>
    <n v="1.2"/>
    <n v="6"/>
    <x v="75"/>
    <n v="29027528"/>
    <x v="79"/>
  </r>
  <r>
    <x v="0"/>
    <x v="5"/>
    <x v="4"/>
    <x v="6"/>
    <x v="1"/>
    <x v="1"/>
    <n v="83291"/>
    <n v="215637"/>
    <x v="75"/>
    <n v="0.97"/>
    <n v="6.29"/>
    <n v="1.2"/>
    <n v="3"/>
    <x v="76"/>
    <n v="74878609"/>
    <x v="80"/>
  </r>
  <r>
    <x v="9"/>
    <x v="0"/>
    <x v="3"/>
    <x v="1"/>
    <x v="1"/>
    <x v="3"/>
    <n v="62405"/>
    <n v="412579"/>
    <x v="76"/>
    <n v="0.97"/>
    <n v="6.29"/>
    <n v="1.2"/>
    <n v="5"/>
    <x v="77"/>
    <n v="37755025"/>
    <x v="81"/>
  </r>
  <r>
    <x v="2"/>
    <x v="10"/>
    <x v="5"/>
    <x v="0"/>
    <x v="0"/>
    <x v="1"/>
    <n v="71386"/>
    <n v="139242"/>
    <x v="77"/>
    <n v="0.97"/>
    <n v="6.29"/>
    <n v="1.2"/>
    <n v="9"/>
    <x v="78"/>
    <n v="33836964"/>
    <x v="82"/>
  </r>
  <r>
    <x v="8"/>
    <x v="0"/>
    <x v="8"/>
    <x v="6"/>
    <x v="1"/>
    <x v="2"/>
    <n v="55827"/>
    <n v="425348"/>
    <x v="20"/>
    <n v="0.97"/>
    <n v="6.29"/>
    <n v="1.2"/>
    <n v="2"/>
    <x v="79"/>
    <n v="39413862"/>
    <x v="83"/>
  </r>
  <r>
    <x v="2"/>
    <x v="4"/>
    <x v="4"/>
    <x v="9"/>
    <x v="0"/>
    <x v="0"/>
    <n v="68040"/>
    <n v="203956"/>
    <x v="78"/>
    <n v="0.97"/>
    <n v="6.29"/>
    <n v="1.2"/>
    <n v="2"/>
    <x v="80"/>
    <n v="18506880"/>
    <x v="84"/>
  </r>
  <r>
    <x v="2"/>
    <x v="7"/>
    <x v="7"/>
    <x v="5"/>
    <x v="0"/>
    <x v="2"/>
    <n v="95354"/>
    <n v="329343"/>
    <x v="79"/>
    <n v="0.97"/>
    <n v="6.29"/>
    <n v="1.2"/>
    <n v="6"/>
    <x v="81"/>
    <n v="50632974"/>
    <x v="85"/>
  </r>
  <r>
    <x v="5"/>
    <x v="0"/>
    <x v="3"/>
    <x v="8"/>
    <x v="0"/>
    <x v="1"/>
    <n v="113543"/>
    <n v="110038"/>
    <x v="80"/>
    <n v="0.97"/>
    <n v="6.29"/>
    <n v="1.2"/>
    <n v="6"/>
    <x v="82"/>
    <n v="66536198"/>
    <x v="86"/>
  </r>
  <r>
    <x v="8"/>
    <x v="4"/>
    <x v="5"/>
    <x v="8"/>
    <x v="0"/>
    <x v="1"/>
    <n v="53157"/>
    <n v="107786"/>
    <x v="55"/>
    <n v="0.97"/>
    <n v="6.29"/>
    <n v="1.2"/>
    <n v="8"/>
    <x v="83"/>
    <n v="35455719"/>
    <x v="87"/>
  </r>
  <r>
    <x v="2"/>
    <x v="8"/>
    <x v="3"/>
    <x v="6"/>
    <x v="1"/>
    <x v="1"/>
    <n v="70315"/>
    <n v="421780"/>
    <x v="81"/>
    <n v="0.97"/>
    <n v="6.29"/>
    <n v="1.2"/>
    <n v="2"/>
    <x v="84"/>
    <n v="39306085"/>
    <x v="88"/>
  </r>
  <r>
    <x v="5"/>
    <x v="8"/>
    <x v="4"/>
    <x v="9"/>
    <x v="0"/>
    <x v="2"/>
    <n v="70932"/>
    <n v="286042"/>
    <x v="82"/>
    <n v="0.97"/>
    <n v="6.29"/>
    <n v="1.2"/>
    <n v="9"/>
    <x v="85"/>
    <n v="35607864"/>
    <x v="89"/>
  </r>
  <r>
    <x v="5"/>
    <x v="2"/>
    <x v="0"/>
    <x v="4"/>
    <x v="0"/>
    <x v="1"/>
    <n v="56164"/>
    <n v="361438"/>
    <x v="83"/>
    <n v="0.97"/>
    <n v="6.29"/>
    <n v="1.2"/>
    <n v="2"/>
    <x v="86"/>
    <n v="46166808"/>
    <x v="90"/>
  </r>
  <r>
    <x v="8"/>
    <x v="1"/>
    <x v="6"/>
    <x v="3"/>
    <x v="1"/>
    <x v="2"/>
    <n v="49414"/>
    <n v="259087"/>
    <x v="84"/>
    <n v="0.97"/>
    <n v="6.29"/>
    <n v="1.2"/>
    <n v="1"/>
    <x v="87"/>
    <n v="27869496"/>
    <x v="91"/>
  </r>
  <r>
    <x v="3"/>
    <x v="0"/>
    <x v="3"/>
    <x v="3"/>
    <x v="1"/>
    <x v="3"/>
    <n v="49327"/>
    <n v="215250"/>
    <x v="85"/>
    <n v="0.97"/>
    <n v="6.29"/>
    <n v="1.2"/>
    <n v="10"/>
    <x v="88"/>
    <n v="52582582"/>
    <x v="92"/>
  </r>
  <r>
    <x v="4"/>
    <x v="10"/>
    <x v="7"/>
    <x v="1"/>
    <x v="1"/>
    <x v="0"/>
    <n v="35946"/>
    <n v="455881"/>
    <x v="86"/>
    <n v="0.97"/>
    <n v="6.29"/>
    <n v="1.2"/>
    <n v="2"/>
    <x v="89"/>
    <n v="31308966"/>
    <x v="93"/>
  </r>
  <r>
    <x v="0"/>
    <x v="0"/>
    <x v="7"/>
    <x v="8"/>
    <x v="0"/>
    <x v="0"/>
    <n v="49693"/>
    <n v="312678"/>
    <x v="87"/>
    <n v="0.97"/>
    <n v="6.29"/>
    <n v="1.2"/>
    <n v="7"/>
    <x v="90"/>
    <n v="29418256"/>
    <x v="94"/>
  </r>
  <r>
    <x v="4"/>
    <x v="10"/>
    <x v="1"/>
    <x v="6"/>
    <x v="1"/>
    <x v="2"/>
    <n v="62241"/>
    <n v="403972"/>
    <x v="20"/>
    <n v="0.97"/>
    <n v="6.29"/>
    <n v="1.2"/>
    <n v="8"/>
    <x v="91"/>
    <n v="31618428"/>
    <x v="95"/>
  </r>
  <r>
    <x v="9"/>
    <x v="9"/>
    <x v="3"/>
    <x v="3"/>
    <x v="1"/>
    <x v="3"/>
    <n v="50540"/>
    <n v="348276"/>
    <x v="88"/>
    <n v="0.97"/>
    <n v="6.29"/>
    <n v="1.2"/>
    <n v="5"/>
    <x v="92"/>
    <n v="59485580"/>
    <x v="96"/>
  </r>
  <r>
    <x v="0"/>
    <x v="3"/>
    <x v="6"/>
    <x v="6"/>
    <x v="1"/>
    <x v="2"/>
    <n v="107255"/>
    <n v="427864"/>
    <x v="77"/>
    <n v="0.97"/>
    <n v="6.29"/>
    <n v="1.2"/>
    <n v="6"/>
    <x v="93"/>
    <n v="67570650"/>
    <x v="97"/>
  </r>
  <r>
    <x v="9"/>
    <x v="1"/>
    <x v="2"/>
    <x v="1"/>
    <x v="1"/>
    <x v="3"/>
    <n v="99757"/>
    <n v="348254"/>
    <x v="89"/>
    <n v="0.97"/>
    <n v="6.29"/>
    <n v="1.2"/>
    <n v="1"/>
    <x v="94"/>
    <n v="84294665"/>
    <x v="98"/>
  </r>
  <r>
    <x v="2"/>
    <x v="9"/>
    <x v="9"/>
    <x v="8"/>
    <x v="0"/>
    <x v="1"/>
    <n v="76203"/>
    <n v="239826"/>
    <x v="90"/>
    <n v="0.97"/>
    <n v="6.29"/>
    <n v="1.2"/>
    <n v="6"/>
    <x v="95"/>
    <n v="67058640"/>
    <x v="99"/>
  </r>
  <r>
    <x v="7"/>
    <x v="0"/>
    <x v="6"/>
    <x v="7"/>
    <x v="1"/>
    <x v="3"/>
    <n v="60081"/>
    <n v="375724"/>
    <x v="91"/>
    <n v="0.97"/>
    <n v="6.29"/>
    <n v="1.2"/>
    <n v="8"/>
    <x v="96"/>
    <n v="6008100"/>
    <x v="100"/>
  </r>
  <r>
    <x v="8"/>
    <x v="1"/>
    <x v="9"/>
    <x v="5"/>
    <x v="0"/>
    <x v="3"/>
    <n v="96861"/>
    <n v="465685"/>
    <x v="92"/>
    <n v="0.97"/>
    <n v="6.29"/>
    <n v="1.2"/>
    <n v="3"/>
    <x v="97"/>
    <n v="43684311"/>
    <x v="101"/>
  </r>
  <r>
    <x v="0"/>
    <x v="9"/>
    <x v="9"/>
    <x v="5"/>
    <x v="0"/>
    <x v="3"/>
    <n v="46350"/>
    <n v="376160"/>
    <x v="93"/>
    <n v="0.97"/>
    <n v="6.29"/>
    <n v="1.2"/>
    <n v="1"/>
    <x v="98"/>
    <n v="43754400"/>
    <x v="102"/>
  </r>
  <r>
    <x v="0"/>
    <x v="11"/>
    <x v="0"/>
    <x v="3"/>
    <x v="1"/>
    <x v="0"/>
    <n v="90512"/>
    <n v="96233"/>
    <x v="94"/>
    <n v="0.97"/>
    <n v="6.29"/>
    <n v="1.2"/>
    <n v="4"/>
    <x v="36"/>
    <n v="63810960"/>
    <x v="103"/>
  </r>
  <r>
    <x v="2"/>
    <x v="0"/>
    <x v="1"/>
    <x v="5"/>
    <x v="0"/>
    <x v="3"/>
    <n v="91809"/>
    <n v="442007"/>
    <x v="95"/>
    <n v="0.97"/>
    <n v="6.29"/>
    <n v="1.2"/>
    <n v="1"/>
    <x v="99"/>
    <n v="86943123"/>
    <x v="104"/>
  </r>
  <r>
    <x v="3"/>
    <x v="9"/>
    <x v="6"/>
    <x v="7"/>
    <x v="1"/>
    <x v="1"/>
    <n v="77832"/>
    <n v="247780"/>
    <x v="58"/>
    <n v="0.97"/>
    <n v="6.29"/>
    <n v="1.2"/>
    <n v="8"/>
    <x v="100"/>
    <n v="51213456"/>
    <x v="105"/>
  </r>
  <r>
    <x v="5"/>
    <x v="11"/>
    <x v="6"/>
    <x v="6"/>
    <x v="1"/>
    <x v="1"/>
    <n v="63369"/>
    <n v="274522"/>
    <x v="96"/>
    <n v="0.97"/>
    <n v="6.29"/>
    <n v="1.2"/>
    <n v="5"/>
    <x v="74"/>
    <n v="33712308"/>
    <x v="106"/>
  </r>
  <r>
    <x v="2"/>
    <x v="11"/>
    <x v="0"/>
    <x v="1"/>
    <x v="1"/>
    <x v="1"/>
    <n v="66728"/>
    <n v="156311"/>
    <x v="97"/>
    <n v="0.97"/>
    <n v="6.29"/>
    <n v="1.2"/>
    <n v="1"/>
    <x v="101"/>
    <n v="60322112"/>
    <x v="107"/>
  </r>
  <r>
    <x v="6"/>
    <x v="8"/>
    <x v="3"/>
    <x v="7"/>
    <x v="1"/>
    <x v="3"/>
    <n v="52576"/>
    <n v="84409"/>
    <x v="96"/>
    <n v="0.97"/>
    <n v="6.29"/>
    <n v="1.2"/>
    <n v="8"/>
    <x v="102"/>
    <n v="38275328"/>
    <x v="108"/>
  </r>
  <r>
    <x v="5"/>
    <x v="2"/>
    <x v="3"/>
    <x v="1"/>
    <x v="1"/>
    <x v="2"/>
    <n v="64001"/>
    <n v="296231"/>
    <x v="98"/>
    <n v="0.97"/>
    <n v="6.29"/>
    <n v="1.2"/>
    <n v="9"/>
    <x v="103"/>
    <n v="45376709"/>
    <x v="109"/>
  </r>
  <r>
    <x v="8"/>
    <x v="0"/>
    <x v="3"/>
    <x v="1"/>
    <x v="1"/>
    <x v="2"/>
    <n v="118384"/>
    <n v="462540"/>
    <x v="25"/>
    <n v="0.97"/>
    <n v="6.29"/>
    <n v="1.2"/>
    <n v="10"/>
    <x v="37"/>
    <n v="43565312"/>
    <x v="110"/>
  </r>
  <r>
    <x v="5"/>
    <x v="11"/>
    <x v="8"/>
    <x v="8"/>
    <x v="0"/>
    <x v="1"/>
    <n v="35390"/>
    <n v="451954"/>
    <x v="33"/>
    <n v="0.97"/>
    <n v="6.29"/>
    <n v="1.2"/>
    <n v="2"/>
    <x v="104"/>
    <n v="35637730"/>
    <x v="111"/>
  </r>
  <r>
    <x v="3"/>
    <x v="8"/>
    <x v="9"/>
    <x v="6"/>
    <x v="1"/>
    <x v="0"/>
    <n v="80436"/>
    <n v="336198"/>
    <x v="99"/>
    <n v="0.97"/>
    <n v="6.29"/>
    <n v="1.2"/>
    <n v="9"/>
    <x v="105"/>
    <n v="15524148"/>
    <x v="112"/>
  </r>
  <r>
    <x v="5"/>
    <x v="9"/>
    <x v="8"/>
    <x v="9"/>
    <x v="0"/>
    <x v="2"/>
    <n v="46569"/>
    <n v="79709"/>
    <x v="100"/>
    <n v="0.97"/>
    <n v="6.29"/>
    <n v="1.2"/>
    <n v="8"/>
    <x v="106"/>
    <n v="40701306"/>
    <x v="113"/>
  </r>
  <r>
    <x v="8"/>
    <x v="4"/>
    <x v="1"/>
    <x v="5"/>
    <x v="0"/>
    <x v="3"/>
    <n v="48029"/>
    <n v="159321"/>
    <x v="101"/>
    <n v="0.97"/>
    <n v="6.29"/>
    <n v="1.2"/>
    <n v="7"/>
    <x v="107"/>
    <n v="29874038"/>
    <x v="114"/>
  </r>
  <r>
    <x v="3"/>
    <x v="0"/>
    <x v="0"/>
    <x v="9"/>
    <x v="0"/>
    <x v="2"/>
    <n v="57490"/>
    <n v="50363"/>
    <x v="102"/>
    <n v="0.97"/>
    <n v="6.29"/>
    <n v="1.2"/>
    <n v="3"/>
    <x v="108"/>
    <n v="60307010"/>
    <x v="115"/>
  </r>
  <r>
    <x v="4"/>
    <x v="1"/>
    <x v="6"/>
    <x v="8"/>
    <x v="0"/>
    <x v="1"/>
    <n v="80875"/>
    <n v="322502"/>
    <x v="103"/>
    <n v="0.97"/>
    <n v="6.29"/>
    <n v="1.2"/>
    <n v="2"/>
    <x v="109"/>
    <n v="69309875"/>
    <x v="116"/>
  </r>
  <r>
    <x v="0"/>
    <x v="10"/>
    <x v="9"/>
    <x v="1"/>
    <x v="1"/>
    <x v="0"/>
    <n v="40867"/>
    <n v="446456"/>
    <x v="104"/>
    <n v="0.97"/>
    <n v="6.29"/>
    <n v="1.2"/>
    <n v="7"/>
    <x v="110"/>
    <n v="17409342"/>
    <x v="117"/>
  </r>
  <r>
    <x v="0"/>
    <x v="10"/>
    <x v="8"/>
    <x v="3"/>
    <x v="1"/>
    <x v="2"/>
    <n v="115820"/>
    <n v="95689"/>
    <x v="105"/>
    <n v="0.97"/>
    <n v="6.29"/>
    <n v="1.2"/>
    <n v="5"/>
    <x v="111"/>
    <n v="122190100"/>
    <x v="118"/>
  </r>
  <r>
    <x v="9"/>
    <x v="9"/>
    <x v="8"/>
    <x v="5"/>
    <x v="0"/>
    <x v="2"/>
    <n v="44121"/>
    <n v="314080"/>
    <x v="106"/>
    <n v="0.97"/>
    <n v="6.29"/>
    <n v="1.2"/>
    <n v="6"/>
    <x v="112"/>
    <n v="32737782"/>
    <x v="119"/>
  </r>
  <r>
    <x v="4"/>
    <x v="6"/>
    <x v="5"/>
    <x v="5"/>
    <x v="0"/>
    <x v="1"/>
    <n v="36539"/>
    <n v="424416"/>
    <x v="107"/>
    <n v="0.97"/>
    <n v="6.29"/>
    <n v="1.2"/>
    <n v="4"/>
    <x v="113"/>
    <n v="25065754"/>
    <x v="120"/>
  </r>
  <r>
    <x v="4"/>
    <x v="6"/>
    <x v="8"/>
    <x v="6"/>
    <x v="1"/>
    <x v="0"/>
    <n v="52027"/>
    <n v="141074"/>
    <x v="108"/>
    <n v="0.97"/>
    <n v="6.29"/>
    <n v="1.2"/>
    <n v="2"/>
    <x v="114"/>
    <n v="15556073"/>
    <x v="121"/>
  </r>
  <r>
    <x v="5"/>
    <x v="9"/>
    <x v="2"/>
    <x v="0"/>
    <x v="0"/>
    <x v="0"/>
    <n v="109229"/>
    <n v="225037"/>
    <x v="109"/>
    <n v="0.97"/>
    <n v="6.29"/>
    <n v="1.2"/>
    <n v="9"/>
    <x v="115"/>
    <n v="78207964"/>
    <x v="122"/>
  </r>
  <r>
    <x v="0"/>
    <x v="11"/>
    <x v="6"/>
    <x v="2"/>
    <x v="1"/>
    <x v="1"/>
    <n v="43921"/>
    <n v="258606"/>
    <x v="110"/>
    <n v="0.97"/>
    <n v="6.29"/>
    <n v="1.2"/>
    <n v="3"/>
    <x v="116"/>
    <n v="39792426"/>
    <x v="123"/>
  </r>
  <r>
    <x v="8"/>
    <x v="2"/>
    <x v="2"/>
    <x v="2"/>
    <x v="1"/>
    <x v="3"/>
    <n v="85435"/>
    <n v="50882"/>
    <x v="4"/>
    <n v="0.97"/>
    <n v="6.29"/>
    <n v="1.2"/>
    <n v="7"/>
    <x v="117"/>
    <n v="88681530"/>
    <x v="124"/>
  </r>
  <r>
    <x v="1"/>
    <x v="0"/>
    <x v="6"/>
    <x v="2"/>
    <x v="1"/>
    <x v="2"/>
    <n v="45310"/>
    <n v="463440"/>
    <x v="111"/>
    <n v="0.97"/>
    <n v="6.29"/>
    <n v="1.2"/>
    <n v="8"/>
    <x v="118"/>
    <n v="19075510"/>
    <x v="125"/>
  </r>
  <r>
    <x v="1"/>
    <x v="10"/>
    <x v="0"/>
    <x v="0"/>
    <x v="0"/>
    <x v="3"/>
    <n v="98965"/>
    <n v="417371"/>
    <x v="112"/>
    <n v="0.97"/>
    <n v="6.29"/>
    <n v="1.2"/>
    <n v="2"/>
    <x v="119"/>
    <n v="54529715"/>
    <x v="126"/>
  </r>
  <r>
    <x v="3"/>
    <x v="10"/>
    <x v="6"/>
    <x v="6"/>
    <x v="1"/>
    <x v="2"/>
    <n v="104922"/>
    <n v="304822"/>
    <x v="113"/>
    <n v="0.97"/>
    <n v="6.29"/>
    <n v="1.2"/>
    <n v="6"/>
    <x v="120"/>
    <n v="98731602"/>
    <x v="127"/>
  </r>
  <r>
    <x v="0"/>
    <x v="2"/>
    <x v="2"/>
    <x v="0"/>
    <x v="0"/>
    <x v="2"/>
    <n v="117839"/>
    <n v="175865"/>
    <x v="47"/>
    <n v="0.97"/>
    <n v="6.29"/>
    <n v="1.2"/>
    <n v="8"/>
    <x v="121"/>
    <n v="73767214"/>
    <x v="128"/>
  </r>
  <r>
    <x v="0"/>
    <x v="11"/>
    <x v="6"/>
    <x v="2"/>
    <x v="1"/>
    <x v="3"/>
    <n v="47242"/>
    <n v="173745"/>
    <x v="114"/>
    <n v="0.97"/>
    <n v="6.29"/>
    <n v="1.2"/>
    <n v="7"/>
    <x v="122"/>
    <n v="29856944"/>
    <x v="129"/>
  </r>
  <r>
    <x v="1"/>
    <x v="10"/>
    <x v="0"/>
    <x v="8"/>
    <x v="0"/>
    <x v="1"/>
    <n v="43947"/>
    <n v="474041"/>
    <x v="115"/>
    <n v="0.97"/>
    <n v="6.29"/>
    <n v="1.2"/>
    <n v="3"/>
    <x v="123"/>
    <n v="36783639"/>
    <x v="130"/>
  </r>
  <r>
    <x v="0"/>
    <x v="1"/>
    <x v="0"/>
    <x v="7"/>
    <x v="1"/>
    <x v="1"/>
    <n v="106466"/>
    <n v="78885"/>
    <x v="116"/>
    <n v="0.97"/>
    <n v="6.29"/>
    <n v="1.2"/>
    <n v="1"/>
    <x v="124"/>
    <n v="79743034"/>
    <x v="131"/>
  </r>
  <r>
    <x v="5"/>
    <x v="0"/>
    <x v="1"/>
    <x v="1"/>
    <x v="1"/>
    <x v="2"/>
    <n v="96816"/>
    <n v="221128"/>
    <x v="49"/>
    <n v="0.97"/>
    <n v="6.29"/>
    <n v="1.2"/>
    <n v="6"/>
    <x v="125"/>
    <n v="36112368"/>
    <x v="132"/>
  </r>
  <r>
    <x v="6"/>
    <x v="7"/>
    <x v="6"/>
    <x v="0"/>
    <x v="0"/>
    <x v="1"/>
    <n v="83785"/>
    <n v="446419"/>
    <x v="117"/>
    <n v="0.97"/>
    <n v="6.29"/>
    <n v="1.2"/>
    <n v="8"/>
    <x v="126"/>
    <n v="63090105"/>
    <x v="133"/>
  </r>
  <r>
    <x v="7"/>
    <x v="10"/>
    <x v="5"/>
    <x v="6"/>
    <x v="1"/>
    <x v="2"/>
    <n v="35507"/>
    <n v="241313"/>
    <x v="118"/>
    <n v="0.97"/>
    <n v="6.29"/>
    <n v="1.2"/>
    <n v="6"/>
    <x v="127"/>
    <n v="41507683"/>
    <x v="134"/>
  </r>
  <r>
    <x v="4"/>
    <x v="9"/>
    <x v="3"/>
    <x v="6"/>
    <x v="1"/>
    <x v="1"/>
    <n v="101972"/>
    <n v="445460"/>
    <x v="119"/>
    <n v="0.97"/>
    <n v="6.29"/>
    <n v="1.2"/>
    <n v="5"/>
    <x v="128"/>
    <n v="79538160"/>
    <x v="135"/>
  </r>
  <r>
    <x v="9"/>
    <x v="1"/>
    <x v="7"/>
    <x v="9"/>
    <x v="0"/>
    <x v="2"/>
    <n v="62151"/>
    <n v="410466"/>
    <x v="120"/>
    <n v="0.97"/>
    <n v="6.29"/>
    <n v="1.2"/>
    <n v="8"/>
    <x v="129"/>
    <n v="46986156"/>
    <x v="136"/>
  </r>
  <r>
    <x v="3"/>
    <x v="10"/>
    <x v="0"/>
    <x v="7"/>
    <x v="1"/>
    <x v="1"/>
    <n v="46618"/>
    <n v="380763"/>
    <x v="121"/>
    <n v="0.97"/>
    <n v="6.29"/>
    <n v="1.2"/>
    <n v="2"/>
    <x v="130"/>
    <n v="39532064"/>
    <x v="137"/>
  </r>
  <r>
    <x v="6"/>
    <x v="3"/>
    <x v="4"/>
    <x v="3"/>
    <x v="1"/>
    <x v="0"/>
    <n v="109286"/>
    <n v="71584"/>
    <x v="113"/>
    <n v="0.97"/>
    <n v="6.29"/>
    <n v="1.2"/>
    <n v="1"/>
    <x v="131"/>
    <n v="99559546"/>
    <x v="138"/>
  </r>
  <r>
    <x v="1"/>
    <x v="1"/>
    <x v="3"/>
    <x v="5"/>
    <x v="0"/>
    <x v="3"/>
    <n v="51122"/>
    <n v="320665"/>
    <x v="122"/>
    <n v="0.97"/>
    <n v="6.29"/>
    <n v="1.2"/>
    <n v="1"/>
    <x v="132"/>
    <n v="27094660"/>
    <x v="139"/>
  </r>
  <r>
    <x v="4"/>
    <x v="8"/>
    <x v="9"/>
    <x v="2"/>
    <x v="1"/>
    <x v="0"/>
    <n v="42354"/>
    <n v="231089"/>
    <x v="123"/>
    <n v="0.97"/>
    <n v="6.29"/>
    <n v="1.2"/>
    <n v="4"/>
    <x v="133"/>
    <n v="41888106"/>
    <x v="140"/>
  </r>
  <r>
    <x v="0"/>
    <x v="7"/>
    <x v="6"/>
    <x v="3"/>
    <x v="1"/>
    <x v="3"/>
    <n v="65979"/>
    <n v="345685"/>
    <x v="124"/>
    <n v="0.97"/>
    <n v="6.29"/>
    <n v="1.2"/>
    <n v="6"/>
    <x v="134"/>
    <n v="13393737"/>
    <x v="141"/>
  </r>
  <r>
    <x v="9"/>
    <x v="5"/>
    <x v="2"/>
    <x v="9"/>
    <x v="0"/>
    <x v="3"/>
    <n v="114376"/>
    <n v="79063"/>
    <x v="125"/>
    <n v="0.97"/>
    <n v="6.29"/>
    <n v="1.2"/>
    <n v="9"/>
    <x v="135"/>
    <n v="78347560"/>
    <x v="142"/>
  </r>
  <r>
    <x v="0"/>
    <x v="9"/>
    <x v="7"/>
    <x v="2"/>
    <x v="1"/>
    <x v="2"/>
    <n v="87774"/>
    <n v="120268"/>
    <x v="126"/>
    <n v="0.97"/>
    <n v="6.29"/>
    <n v="1.2"/>
    <n v="1"/>
    <x v="136"/>
    <n v="35811792"/>
    <x v="143"/>
  </r>
  <r>
    <x v="8"/>
    <x v="9"/>
    <x v="4"/>
    <x v="7"/>
    <x v="1"/>
    <x v="3"/>
    <n v="40037"/>
    <n v="306306"/>
    <x v="74"/>
    <n v="0.97"/>
    <n v="6.29"/>
    <n v="1.2"/>
    <n v="1"/>
    <x v="137"/>
    <n v="30508194"/>
    <x v="144"/>
  </r>
  <r>
    <x v="8"/>
    <x v="0"/>
    <x v="3"/>
    <x v="9"/>
    <x v="0"/>
    <x v="0"/>
    <n v="63633"/>
    <n v="176218"/>
    <x v="95"/>
    <n v="0.97"/>
    <n v="6.29"/>
    <n v="1.2"/>
    <n v="5"/>
    <x v="120"/>
    <n v="59878653"/>
    <x v="145"/>
  </r>
  <r>
    <x v="9"/>
    <x v="2"/>
    <x v="6"/>
    <x v="2"/>
    <x v="1"/>
    <x v="0"/>
    <n v="59495"/>
    <n v="430350"/>
    <x v="127"/>
    <n v="0.97"/>
    <n v="6.29"/>
    <n v="1.2"/>
    <n v="10"/>
    <x v="138"/>
    <n v="25285375"/>
    <x v="146"/>
  </r>
  <r>
    <x v="9"/>
    <x v="1"/>
    <x v="1"/>
    <x v="7"/>
    <x v="1"/>
    <x v="1"/>
    <n v="99550"/>
    <n v="274126"/>
    <x v="31"/>
    <n v="0.97"/>
    <n v="6.29"/>
    <n v="1.2"/>
    <n v="5"/>
    <x v="139"/>
    <n v="59331800"/>
    <x v="147"/>
  </r>
  <r>
    <x v="1"/>
    <x v="11"/>
    <x v="9"/>
    <x v="4"/>
    <x v="0"/>
    <x v="0"/>
    <n v="116384"/>
    <n v="220635"/>
    <x v="128"/>
    <n v="0.97"/>
    <n v="6.29"/>
    <n v="1.2"/>
    <n v="5"/>
    <x v="140"/>
    <n v="89499296"/>
    <x v="148"/>
  </r>
  <r>
    <x v="9"/>
    <x v="9"/>
    <x v="7"/>
    <x v="3"/>
    <x v="1"/>
    <x v="1"/>
    <n v="71483"/>
    <n v="220824"/>
    <x v="129"/>
    <n v="0.97"/>
    <n v="6.29"/>
    <n v="1.2"/>
    <n v="10"/>
    <x v="41"/>
    <n v="38815269"/>
    <x v="149"/>
  </r>
  <r>
    <x v="5"/>
    <x v="1"/>
    <x v="5"/>
    <x v="3"/>
    <x v="1"/>
    <x v="3"/>
    <n v="108373"/>
    <n v="276305"/>
    <x v="130"/>
    <n v="0.97"/>
    <n v="6.29"/>
    <n v="1.2"/>
    <n v="6"/>
    <x v="141"/>
    <n v="108047881"/>
    <x v="150"/>
  </r>
  <r>
    <x v="0"/>
    <x v="1"/>
    <x v="1"/>
    <x v="5"/>
    <x v="0"/>
    <x v="0"/>
    <n v="69069"/>
    <n v="445783"/>
    <x v="67"/>
    <n v="0.97"/>
    <n v="6.29"/>
    <n v="1.2"/>
    <n v="8"/>
    <x v="50"/>
    <n v="24657633"/>
    <x v="151"/>
  </r>
  <r>
    <x v="6"/>
    <x v="3"/>
    <x v="4"/>
    <x v="7"/>
    <x v="1"/>
    <x v="3"/>
    <n v="42370"/>
    <n v="459337"/>
    <x v="131"/>
    <n v="0.97"/>
    <n v="6.29"/>
    <n v="1.2"/>
    <n v="3"/>
    <x v="142"/>
    <n v="44191910"/>
    <x v="152"/>
  </r>
  <r>
    <x v="2"/>
    <x v="4"/>
    <x v="7"/>
    <x v="0"/>
    <x v="0"/>
    <x v="0"/>
    <n v="106947"/>
    <n v="444890"/>
    <x v="132"/>
    <n v="0.97"/>
    <n v="6.29"/>
    <n v="1.2"/>
    <n v="9"/>
    <x v="143"/>
    <n v="90798003"/>
    <x v="153"/>
  </r>
  <r>
    <x v="9"/>
    <x v="4"/>
    <x v="1"/>
    <x v="4"/>
    <x v="0"/>
    <x v="0"/>
    <n v="74133"/>
    <n v="126411"/>
    <x v="133"/>
    <n v="0.97"/>
    <n v="6.29"/>
    <n v="1.2"/>
    <n v="1"/>
    <x v="144"/>
    <n v="9044226"/>
    <x v="154"/>
  </r>
  <r>
    <x v="3"/>
    <x v="5"/>
    <x v="9"/>
    <x v="8"/>
    <x v="0"/>
    <x v="1"/>
    <n v="35692"/>
    <n v="159876"/>
    <x v="134"/>
    <n v="0.97"/>
    <n v="6.29"/>
    <n v="1.2"/>
    <n v="4"/>
    <x v="145"/>
    <n v="32693872"/>
    <x v="155"/>
  </r>
  <r>
    <x v="8"/>
    <x v="8"/>
    <x v="5"/>
    <x v="2"/>
    <x v="1"/>
    <x v="3"/>
    <n v="63926"/>
    <n v="248153"/>
    <x v="135"/>
    <n v="0.97"/>
    <n v="6.29"/>
    <n v="1.2"/>
    <n v="9"/>
    <x v="146"/>
    <n v="56382732"/>
    <x v="156"/>
  </r>
  <r>
    <x v="5"/>
    <x v="5"/>
    <x v="1"/>
    <x v="4"/>
    <x v="0"/>
    <x v="0"/>
    <n v="108984"/>
    <n v="210212"/>
    <x v="136"/>
    <n v="0.97"/>
    <n v="6.29"/>
    <n v="1.2"/>
    <n v="8"/>
    <x v="147"/>
    <n v="51440448"/>
    <x v="157"/>
  </r>
  <r>
    <x v="4"/>
    <x v="10"/>
    <x v="8"/>
    <x v="7"/>
    <x v="1"/>
    <x v="2"/>
    <n v="78390"/>
    <n v="190399"/>
    <x v="126"/>
    <n v="0.97"/>
    <n v="6.29"/>
    <n v="1.2"/>
    <n v="10"/>
    <x v="148"/>
    <n v="35118720"/>
    <x v="158"/>
  </r>
  <r>
    <x v="2"/>
    <x v="11"/>
    <x v="5"/>
    <x v="1"/>
    <x v="1"/>
    <x v="3"/>
    <n v="84593"/>
    <n v="73331"/>
    <x v="137"/>
    <n v="0.97"/>
    <n v="6.29"/>
    <n v="1.2"/>
    <n v="9"/>
    <x v="149"/>
    <n v="80870908"/>
    <x v="159"/>
  </r>
  <r>
    <x v="6"/>
    <x v="10"/>
    <x v="4"/>
    <x v="2"/>
    <x v="1"/>
    <x v="3"/>
    <n v="110609"/>
    <n v="73004"/>
    <x v="51"/>
    <n v="0.97"/>
    <n v="6.29"/>
    <n v="1.2"/>
    <n v="1"/>
    <x v="150"/>
    <n v="69462452"/>
    <x v="160"/>
  </r>
  <r>
    <x v="2"/>
    <x v="6"/>
    <x v="9"/>
    <x v="6"/>
    <x v="1"/>
    <x v="3"/>
    <n v="40209"/>
    <n v="288441"/>
    <x v="107"/>
    <n v="0.97"/>
    <n v="6.29"/>
    <n v="1.2"/>
    <n v="9"/>
    <x v="151"/>
    <n v="32408454"/>
    <x v="161"/>
  </r>
  <r>
    <x v="9"/>
    <x v="10"/>
    <x v="6"/>
    <x v="3"/>
    <x v="1"/>
    <x v="1"/>
    <n v="41533"/>
    <n v="431387"/>
    <x v="62"/>
    <n v="0.97"/>
    <n v="6.29"/>
    <n v="1.2"/>
    <n v="3"/>
    <x v="152"/>
    <n v="19312845"/>
    <x v="162"/>
  </r>
  <r>
    <x v="1"/>
    <x v="0"/>
    <x v="2"/>
    <x v="7"/>
    <x v="1"/>
    <x v="2"/>
    <n v="42211"/>
    <n v="453708"/>
    <x v="138"/>
    <n v="0.97"/>
    <n v="6.29"/>
    <n v="1.2"/>
    <n v="10"/>
    <x v="153"/>
    <n v="5107531"/>
    <x v="163"/>
  </r>
  <r>
    <x v="8"/>
    <x v="10"/>
    <x v="2"/>
    <x v="6"/>
    <x v="1"/>
    <x v="3"/>
    <n v="44927"/>
    <n v="498013"/>
    <x v="139"/>
    <n v="0.97"/>
    <n v="6.29"/>
    <n v="1.2"/>
    <n v="9"/>
    <x v="154"/>
    <n v="41467621"/>
    <x v="164"/>
  </r>
  <r>
    <x v="8"/>
    <x v="5"/>
    <x v="2"/>
    <x v="5"/>
    <x v="0"/>
    <x v="0"/>
    <n v="112463"/>
    <n v="239167"/>
    <x v="1"/>
    <n v="0.97"/>
    <n v="6.29"/>
    <n v="1.2"/>
    <n v="1"/>
    <x v="155"/>
    <n v="57018741"/>
    <x v="165"/>
  </r>
  <r>
    <x v="4"/>
    <x v="9"/>
    <x v="7"/>
    <x v="9"/>
    <x v="0"/>
    <x v="0"/>
    <n v="59594"/>
    <n v="456965"/>
    <x v="140"/>
    <n v="0.97"/>
    <n v="6.29"/>
    <n v="1.2"/>
    <n v="1"/>
    <x v="156"/>
    <n v="17163072"/>
    <x v="166"/>
  </r>
  <r>
    <x v="1"/>
    <x v="9"/>
    <x v="4"/>
    <x v="8"/>
    <x v="0"/>
    <x v="1"/>
    <n v="109852"/>
    <n v="375361"/>
    <x v="125"/>
    <n v="0.97"/>
    <n v="6.29"/>
    <n v="1.2"/>
    <n v="9"/>
    <x v="157"/>
    <n v="57013188"/>
    <x v="167"/>
  </r>
  <r>
    <x v="0"/>
    <x v="4"/>
    <x v="9"/>
    <x v="8"/>
    <x v="0"/>
    <x v="0"/>
    <n v="112713"/>
    <n v="139044"/>
    <x v="54"/>
    <n v="0.97"/>
    <n v="6.29"/>
    <n v="1.2"/>
    <n v="6"/>
    <x v="158"/>
    <n v="59399751"/>
    <x v="168"/>
  </r>
  <r>
    <x v="7"/>
    <x v="2"/>
    <x v="5"/>
    <x v="6"/>
    <x v="1"/>
    <x v="3"/>
    <n v="111382"/>
    <n v="321189"/>
    <x v="141"/>
    <n v="0.97"/>
    <n v="6.29"/>
    <n v="1.2"/>
    <n v="4"/>
    <x v="159"/>
    <n v="98350306"/>
    <x v="169"/>
  </r>
  <r>
    <x v="5"/>
    <x v="11"/>
    <x v="7"/>
    <x v="3"/>
    <x v="1"/>
    <x v="0"/>
    <n v="42933"/>
    <n v="332260"/>
    <x v="108"/>
    <n v="0.97"/>
    <n v="6.29"/>
    <n v="1.2"/>
    <n v="7"/>
    <x v="160"/>
    <n v="15498813"/>
    <x v="170"/>
  </r>
  <r>
    <x v="8"/>
    <x v="11"/>
    <x v="4"/>
    <x v="5"/>
    <x v="0"/>
    <x v="3"/>
    <n v="75696"/>
    <n v="68667"/>
    <x v="44"/>
    <n v="0.97"/>
    <n v="6.29"/>
    <n v="1.2"/>
    <n v="5"/>
    <x v="161"/>
    <n v="29370048"/>
    <x v="171"/>
  </r>
  <r>
    <x v="3"/>
    <x v="0"/>
    <x v="6"/>
    <x v="1"/>
    <x v="1"/>
    <x v="0"/>
    <n v="100449"/>
    <n v="387201"/>
    <x v="142"/>
    <n v="0.97"/>
    <n v="6.29"/>
    <n v="1.2"/>
    <n v="10"/>
    <x v="162"/>
    <n v="84778956"/>
    <x v="172"/>
  </r>
  <r>
    <x v="8"/>
    <x v="5"/>
    <x v="8"/>
    <x v="3"/>
    <x v="1"/>
    <x v="2"/>
    <n v="102616"/>
    <n v="124205"/>
    <x v="143"/>
    <n v="0.97"/>
    <n v="6.29"/>
    <n v="1.2"/>
    <n v="7"/>
    <x v="5"/>
    <n v="70497192"/>
    <x v="173"/>
  </r>
  <r>
    <x v="2"/>
    <x v="4"/>
    <x v="9"/>
    <x v="4"/>
    <x v="0"/>
    <x v="1"/>
    <n v="41089"/>
    <n v="77302"/>
    <x v="144"/>
    <n v="0.97"/>
    <n v="6.29"/>
    <n v="1.2"/>
    <n v="8"/>
    <x v="95"/>
    <n v="36158320"/>
    <x v="174"/>
  </r>
  <r>
    <x v="8"/>
    <x v="3"/>
    <x v="2"/>
    <x v="8"/>
    <x v="0"/>
    <x v="1"/>
    <n v="91548"/>
    <n v="454499"/>
    <x v="145"/>
    <n v="0.97"/>
    <n v="6.29"/>
    <n v="1.2"/>
    <n v="8"/>
    <x v="163"/>
    <n v="81203076"/>
    <x v="175"/>
  </r>
  <r>
    <x v="8"/>
    <x v="6"/>
    <x v="1"/>
    <x v="4"/>
    <x v="0"/>
    <x v="2"/>
    <n v="61123"/>
    <n v="212007"/>
    <x v="146"/>
    <n v="0.97"/>
    <n v="6.29"/>
    <n v="1.2"/>
    <n v="1"/>
    <x v="164"/>
    <n v="48164924"/>
    <x v="176"/>
  </r>
  <r>
    <x v="7"/>
    <x v="11"/>
    <x v="9"/>
    <x v="2"/>
    <x v="1"/>
    <x v="2"/>
    <n v="42797"/>
    <n v="122534"/>
    <x v="86"/>
    <n v="0.97"/>
    <n v="6.29"/>
    <n v="1.2"/>
    <n v="8"/>
    <x v="165"/>
    <n v="43909722"/>
    <x v="177"/>
  </r>
  <r>
    <x v="7"/>
    <x v="9"/>
    <x v="0"/>
    <x v="0"/>
    <x v="0"/>
    <x v="1"/>
    <n v="85013"/>
    <n v="275414"/>
    <x v="147"/>
    <n v="0.97"/>
    <n v="6.29"/>
    <n v="1.2"/>
    <n v="6"/>
    <x v="166"/>
    <n v="29499511"/>
    <x v="178"/>
  </r>
  <r>
    <x v="6"/>
    <x v="10"/>
    <x v="4"/>
    <x v="7"/>
    <x v="1"/>
    <x v="2"/>
    <n v="43346"/>
    <n v="212696"/>
    <x v="148"/>
    <n v="0.97"/>
    <n v="6.29"/>
    <n v="1.2"/>
    <n v="4"/>
    <x v="167"/>
    <n v="16731556"/>
    <x v="179"/>
  </r>
  <r>
    <x v="0"/>
    <x v="10"/>
    <x v="3"/>
    <x v="5"/>
    <x v="0"/>
    <x v="3"/>
    <n v="68672"/>
    <n v="63440"/>
    <x v="147"/>
    <n v="0.97"/>
    <n v="6.29"/>
    <n v="1.2"/>
    <n v="8"/>
    <x v="168"/>
    <n v="12841664"/>
    <x v="180"/>
  </r>
  <r>
    <x v="3"/>
    <x v="2"/>
    <x v="6"/>
    <x v="3"/>
    <x v="1"/>
    <x v="0"/>
    <n v="52653"/>
    <n v="423145"/>
    <x v="55"/>
    <n v="0.97"/>
    <n v="6.29"/>
    <n v="1.2"/>
    <n v="3"/>
    <x v="169"/>
    <n v="31539147"/>
    <x v="181"/>
  </r>
  <r>
    <x v="8"/>
    <x v="4"/>
    <x v="8"/>
    <x v="8"/>
    <x v="0"/>
    <x v="1"/>
    <n v="84556"/>
    <n v="358645"/>
    <x v="149"/>
    <n v="0.97"/>
    <n v="6.29"/>
    <n v="1.2"/>
    <n v="4"/>
    <x v="170"/>
    <n v="68913140"/>
    <x v="182"/>
  </r>
  <r>
    <x v="8"/>
    <x v="5"/>
    <x v="6"/>
    <x v="4"/>
    <x v="0"/>
    <x v="2"/>
    <n v="61140"/>
    <n v="444485"/>
    <x v="150"/>
    <n v="0.97"/>
    <n v="6.29"/>
    <n v="1.2"/>
    <n v="6"/>
    <x v="171"/>
    <n v="63830160"/>
    <x v="183"/>
  </r>
  <r>
    <x v="5"/>
    <x v="5"/>
    <x v="9"/>
    <x v="9"/>
    <x v="0"/>
    <x v="3"/>
    <n v="36184"/>
    <n v="320012"/>
    <x v="122"/>
    <n v="0.97"/>
    <n v="6.29"/>
    <n v="1.2"/>
    <n v="7"/>
    <x v="172"/>
    <n v="19394624"/>
    <x v="184"/>
  </r>
  <r>
    <x v="7"/>
    <x v="8"/>
    <x v="3"/>
    <x v="2"/>
    <x v="1"/>
    <x v="1"/>
    <n v="69493"/>
    <n v="211323"/>
    <x v="123"/>
    <n v="0.97"/>
    <n v="6.29"/>
    <n v="1.2"/>
    <n v="4"/>
    <x v="173"/>
    <n v="67199731"/>
    <x v="185"/>
  </r>
  <r>
    <x v="3"/>
    <x v="7"/>
    <x v="0"/>
    <x v="7"/>
    <x v="1"/>
    <x v="2"/>
    <n v="79148"/>
    <n v="390053"/>
    <x v="105"/>
    <n v="0.97"/>
    <n v="6.29"/>
    <n v="1.2"/>
    <n v="4"/>
    <x v="174"/>
    <n v="58886112"/>
    <x v="186"/>
  </r>
  <r>
    <x v="4"/>
    <x v="11"/>
    <x v="5"/>
    <x v="7"/>
    <x v="1"/>
    <x v="1"/>
    <n v="59846"/>
    <n v="134523"/>
    <x v="151"/>
    <n v="0.97"/>
    <n v="6.29"/>
    <n v="1.2"/>
    <n v="7"/>
    <x v="175"/>
    <n v="20407486"/>
    <x v="187"/>
  </r>
  <r>
    <x v="6"/>
    <x v="5"/>
    <x v="1"/>
    <x v="3"/>
    <x v="1"/>
    <x v="2"/>
    <n v="57195"/>
    <n v="219801"/>
    <x v="140"/>
    <n v="0.97"/>
    <n v="6.29"/>
    <n v="1.2"/>
    <n v="6"/>
    <x v="176"/>
    <n v="29226645"/>
    <x v="188"/>
  </r>
  <r>
    <x v="0"/>
    <x v="2"/>
    <x v="3"/>
    <x v="5"/>
    <x v="0"/>
    <x v="1"/>
    <n v="40606"/>
    <n v="65734"/>
    <x v="139"/>
    <n v="0.97"/>
    <n v="6.29"/>
    <n v="1.2"/>
    <n v="8"/>
    <x v="177"/>
    <n v="32078740"/>
    <x v="189"/>
  </r>
  <r>
    <x v="1"/>
    <x v="9"/>
    <x v="4"/>
    <x v="1"/>
    <x v="1"/>
    <x v="3"/>
    <n v="38956"/>
    <n v="223501"/>
    <x v="152"/>
    <n v="0.97"/>
    <n v="6.29"/>
    <n v="1.2"/>
    <n v="1"/>
    <x v="178"/>
    <n v="17802892"/>
    <x v="190"/>
  </r>
  <r>
    <x v="0"/>
    <x v="4"/>
    <x v="2"/>
    <x v="9"/>
    <x v="0"/>
    <x v="3"/>
    <n v="51555"/>
    <n v="222409"/>
    <x v="0"/>
    <n v="0.97"/>
    <n v="6.29"/>
    <n v="1.2"/>
    <n v="10"/>
    <x v="179"/>
    <n v="12630975"/>
    <x v="191"/>
  </r>
  <r>
    <x v="2"/>
    <x v="6"/>
    <x v="0"/>
    <x v="3"/>
    <x v="1"/>
    <x v="0"/>
    <n v="53690"/>
    <n v="483541"/>
    <x v="153"/>
    <n v="0.97"/>
    <n v="6.29"/>
    <n v="1.2"/>
    <n v="7"/>
    <x v="180"/>
    <n v="43918420"/>
    <x v="192"/>
  </r>
  <r>
    <x v="8"/>
    <x v="8"/>
    <x v="1"/>
    <x v="4"/>
    <x v="0"/>
    <x v="1"/>
    <n v="93502"/>
    <n v="395744"/>
    <x v="154"/>
    <n v="0.97"/>
    <n v="6.29"/>
    <n v="1.2"/>
    <n v="7"/>
    <x v="139"/>
    <n v="55727192"/>
    <x v="193"/>
  </r>
  <r>
    <x v="6"/>
    <x v="2"/>
    <x v="8"/>
    <x v="0"/>
    <x v="0"/>
    <x v="0"/>
    <n v="83849"/>
    <n v="320577"/>
    <x v="37"/>
    <n v="0.97"/>
    <n v="6.29"/>
    <n v="1.2"/>
    <n v="7"/>
    <x v="46"/>
    <n v="33204204"/>
    <x v="194"/>
  </r>
  <r>
    <x v="2"/>
    <x v="1"/>
    <x v="2"/>
    <x v="6"/>
    <x v="1"/>
    <x v="1"/>
    <n v="61347"/>
    <n v="190183"/>
    <x v="38"/>
    <n v="0.97"/>
    <n v="6.29"/>
    <n v="1.2"/>
    <n v="7"/>
    <x v="27"/>
    <n v="32084481"/>
    <x v="195"/>
  </r>
  <r>
    <x v="3"/>
    <x v="0"/>
    <x v="9"/>
    <x v="1"/>
    <x v="1"/>
    <x v="2"/>
    <n v="84056"/>
    <n v="153986"/>
    <x v="155"/>
    <n v="0.97"/>
    <n v="6.29"/>
    <n v="1.2"/>
    <n v="10"/>
    <x v="181"/>
    <n v="35219464"/>
    <x v="196"/>
  </r>
  <r>
    <x v="1"/>
    <x v="6"/>
    <x v="3"/>
    <x v="5"/>
    <x v="0"/>
    <x v="2"/>
    <n v="98851"/>
    <n v="375897"/>
    <x v="156"/>
    <n v="0.97"/>
    <n v="6.29"/>
    <n v="1.2"/>
    <n v="10"/>
    <x v="182"/>
    <n v="17101223"/>
    <x v="197"/>
  </r>
  <r>
    <x v="7"/>
    <x v="1"/>
    <x v="1"/>
    <x v="2"/>
    <x v="1"/>
    <x v="0"/>
    <n v="116502"/>
    <n v="163783"/>
    <x v="38"/>
    <n v="0.97"/>
    <n v="6.29"/>
    <n v="1.2"/>
    <n v="8"/>
    <x v="64"/>
    <n v="45785286"/>
    <x v="198"/>
  </r>
  <r>
    <x v="6"/>
    <x v="3"/>
    <x v="7"/>
    <x v="1"/>
    <x v="1"/>
    <x v="1"/>
    <n v="116418"/>
    <n v="261655"/>
    <x v="22"/>
    <n v="0.97"/>
    <n v="6.29"/>
    <n v="1.2"/>
    <n v="9"/>
    <x v="183"/>
    <n v="76137372"/>
    <x v="199"/>
  </r>
  <r>
    <x v="6"/>
    <x v="10"/>
    <x v="5"/>
    <x v="8"/>
    <x v="0"/>
    <x v="0"/>
    <n v="105211"/>
    <n v="333895"/>
    <x v="83"/>
    <n v="0.97"/>
    <n v="6.29"/>
    <n v="1.2"/>
    <n v="9"/>
    <x v="30"/>
    <n v="81328103"/>
    <x v="200"/>
  </r>
  <r>
    <x v="8"/>
    <x v="0"/>
    <x v="5"/>
    <x v="5"/>
    <x v="0"/>
    <x v="3"/>
    <n v="76850"/>
    <n v="197525"/>
    <x v="26"/>
    <n v="0.97"/>
    <n v="6.29"/>
    <n v="1.2"/>
    <n v="2"/>
    <x v="184"/>
    <n v="16215350"/>
    <x v="201"/>
  </r>
  <r>
    <x v="9"/>
    <x v="11"/>
    <x v="0"/>
    <x v="0"/>
    <x v="0"/>
    <x v="0"/>
    <n v="113545"/>
    <n v="266916"/>
    <x v="53"/>
    <n v="0.97"/>
    <n v="6.29"/>
    <n v="1.2"/>
    <n v="7"/>
    <x v="185"/>
    <n v="42579375"/>
    <x v="202"/>
  </r>
  <r>
    <x v="6"/>
    <x v="9"/>
    <x v="8"/>
    <x v="8"/>
    <x v="0"/>
    <x v="0"/>
    <n v="62843"/>
    <n v="482184"/>
    <x v="22"/>
    <n v="0.97"/>
    <n v="6.29"/>
    <n v="1.2"/>
    <n v="7"/>
    <x v="186"/>
    <n v="61271925"/>
    <x v="203"/>
  </r>
  <r>
    <x v="5"/>
    <x v="0"/>
    <x v="0"/>
    <x v="1"/>
    <x v="1"/>
    <x v="2"/>
    <n v="97320"/>
    <n v="211149"/>
    <x v="157"/>
    <n v="0.97"/>
    <n v="6.29"/>
    <n v="1.2"/>
    <n v="4"/>
    <x v="46"/>
    <n v="38538720"/>
    <x v="204"/>
  </r>
  <r>
    <x v="1"/>
    <x v="7"/>
    <x v="7"/>
    <x v="6"/>
    <x v="1"/>
    <x v="0"/>
    <n v="64793"/>
    <n v="289654"/>
    <x v="0"/>
    <n v="0.97"/>
    <n v="6.29"/>
    <n v="1.2"/>
    <n v="9"/>
    <x v="187"/>
    <n v="32396500"/>
    <x v="205"/>
  </r>
  <r>
    <x v="1"/>
    <x v="1"/>
    <x v="4"/>
    <x v="6"/>
    <x v="1"/>
    <x v="1"/>
    <n v="74516"/>
    <n v="477991"/>
    <x v="8"/>
    <n v="0.97"/>
    <n v="6.29"/>
    <n v="1.2"/>
    <n v="8"/>
    <x v="188"/>
    <n v="10581272"/>
    <x v="206"/>
  </r>
  <r>
    <x v="5"/>
    <x v="11"/>
    <x v="8"/>
    <x v="0"/>
    <x v="0"/>
    <x v="2"/>
    <n v="52857"/>
    <n v="239216"/>
    <x v="158"/>
    <n v="0.97"/>
    <n v="6.29"/>
    <n v="1.2"/>
    <n v="1"/>
    <x v="27"/>
    <n v="27644211"/>
    <x v="207"/>
  </r>
  <r>
    <x v="4"/>
    <x v="7"/>
    <x v="6"/>
    <x v="7"/>
    <x v="1"/>
    <x v="0"/>
    <n v="54627"/>
    <n v="360714"/>
    <x v="159"/>
    <n v="0.97"/>
    <n v="6.29"/>
    <n v="1.2"/>
    <n v="2"/>
    <x v="189"/>
    <n v="38075019"/>
    <x v="208"/>
  </r>
  <r>
    <x v="5"/>
    <x v="10"/>
    <x v="4"/>
    <x v="9"/>
    <x v="0"/>
    <x v="3"/>
    <n v="96822"/>
    <n v="227169"/>
    <x v="160"/>
    <n v="0.97"/>
    <n v="6.29"/>
    <n v="1.2"/>
    <n v="2"/>
    <x v="120"/>
    <n v="91109502"/>
    <x v="209"/>
  </r>
  <r>
    <x v="5"/>
    <x v="7"/>
    <x v="8"/>
    <x v="2"/>
    <x v="1"/>
    <x v="0"/>
    <n v="119101"/>
    <n v="336647"/>
    <x v="63"/>
    <n v="0.97"/>
    <n v="6.29"/>
    <n v="1.2"/>
    <n v="8"/>
    <x v="190"/>
    <n v="53119046"/>
    <x v="210"/>
  </r>
  <r>
    <x v="1"/>
    <x v="8"/>
    <x v="8"/>
    <x v="7"/>
    <x v="1"/>
    <x v="0"/>
    <n v="87248"/>
    <n v="183851"/>
    <x v="161"/>
    <n v="0.97"/>
    <n v="6.29"/>
    <n v="1.2"/>
    <n v="1"/>
    <x v="191"/>
    <n v="41617296"/>
    <x v="211"/>
  </r>
  <r>
    <x v="0"/>
    <x v="8"/>
    <x v="7"/>
    <x v="6"/>
    <x v="1"/>
    <x v="0"/>
    <n v="90798"/>
    <n v="398984"/>
    <x v="162"/>
    <n v="0.97"/>
    <n v="6.29"/>
    <n v="1.2"/>
    <n v="4"/>
    <x v="192"/>
    <n v="91524384"/>
    <x v="212"/>
  </r>
  <r>
    <x v="1"/>
    <x v="3"/>
    <x v="9"/>
    <x v="6"/>
    <x v="1"/>
    <x v="2"/>
    <n v="79116"/>
    <n v="181827"/>
    <x v="163"/>
    <n v="0.97"/>
    <n v="6.29"/>
    <n v="1.2"/>
    <n v="10"/>
    <x v="193"/>
    <n v="61789596"/>
    <x v="213"/>
  </r>
  <r>
    <x v="9"/>
    <x v="4"/>
    <x v="7"/>
    <x v="4"/>
    <x v="0"/>
    <x v="1"/>
    <n v="110318"/>
    <n v="351407"/>
    <x v="164"/>
    <n v="0.97"/>
    <n v="6.29"/>
    <n v="1.2"/>
    <n v="5"/>
    <x v="74"/>
    <n v="58689176"/>
    <x v="214"/>
  </r>
  <r>
    <x v="8"/>
    <x v="6"/>
    <x v="8"/>
    <x v="8"/>
    <x v="0"/>
    <x v="3"/>
    <n v="63557"/>
    <n v="420635"/>
    <x v="165"/>
    <n v="0.97"/>
    <n v="6.29"/>
    <n v="1.2"/>
    <n v="9"/>
    <x v="194"/>
    <n v="34447894"/>
    <x v="215"/>
  </r>
  <r>
    <x v="2"/>
    <x v="6"/>
    <x v="1"/>
    <x v="1"/>
    <x v="1"/>
    <x v="0"/>
    <n v="106334"/>
    <n v="367231"/>
    <x v="166"/>
    <n v="0.97"/>
    <n v="6.29"/>
    <n v="1.2"/>
    <n v="7"/>
    <x v="195"/>
    <n v="84641864"/>
    <x v="216"/>
  </r>
  <r>
    <x v="0"/>
    <x v="11"/>
    <x v="4"/>
    <x v="2"/>
    <x v="1"/>
    <x v="1"/>
    <n v="110163"/>
    <n v="485497"/>
    <x v="64"/>
    <n v="0.97"/>
    <n v="6.29"/>
    <n v="1.2"/>
    <n v="8"/>
    <x v="196"/>
    <n v="136271631"/>
    <x v="217"/>
  </r>
  <r>
    <x v="7"/>
    <x v="10"/>
    <x v="7"/>
    <x v="0"/>
    <x v="0"/>
    <x v="1"/>
    <n v="113002"/>
    <n v="101482"/>
    <x v="114"/>
    <n v="0.97"/>
    <n v="6.29"/>
    <n v="1.2"/>
    <n v="9"/>
    <x v="197"/>
    <n v="35934636"/>
    <x v="218"/>
  </r>
  <r>
    <x v="2"/>
    <x v="5"/>
    <x v="9"/>
    <x v="1"/>
    <x v="1"/>
    <x v="2"/>
    <n v="77614"/>
    <n v="498073"/>
    <x v="167"/>
    <n v="0.97"/>
    <n v="6.29"/>
    <n v="1.2"/>
    <n v="7"/>
    <x v="90"/>
    <n v="45947488"/>
    <x v="219"/>
  </r>
  <r>
    <x v="8"/>
    <x v="3"/>
    <x v="3"/>
    <x v="4"/>
    <x v="0"/>
    <x v="3"/>
    <n v="47720"/>
    <n v="172989"/>
    <x v="168"/>
    <n v="0.97"/>
    <n v="6.29"/>
    <n v="1.2"/>
    <n v="5"/>
    <x v="72"/>
    <n v="32306440"/>
    <x v="220"/>
  </r>
  <r>
    <x v="9"/>
    <x v="8"/>
    <x v="0"/>
    <x v="6"/>
    <x v="1"/>
    <x v="2"/>
    <n v="92608"/>
    <n v="460616"/>
    <x v="169"/>
    <n v="0.97"/>
    <n v="6.29"/>
    <n v="1.2"/>
    <n v="5"/>
    <x v="119"/>
    <n v="51027008"/>
    <x v="221"/>
  </r>
  <r>
    <x v="9"/>
    <x v="11"/>
    <x v="8"/>
    <x v="0"/>
    <x v="0"/>
    <x v="1"/>
    <n v="107095"/>
    <n v="352259"/>
    <x v="98"/>
    <n v="0.97"/>
    <n v="6.29"/>
    <n v="1.2"/>
    <n v="10"/>
    <x v="198"/>
    <n v="98955780"/>
    <x v="222"/>
  </r>
  <r>
    <x v="7"/>
    <x v="5"/>
    <x v="6"/>
    <x v="6"/>
    <x v="1"/>
    <x v="1"/>
    <n v="119694"/>
    <n v="326393"/>
    <x v="52"/>
    <n v="0.97"/>
    <n v="6.29"/>
    <n v="1.2"/>
    <n v="6"/>
    <x v="172"/>
    <n v="64155984"/>
    <x v="223"/>
  </r>
  <r>
    <x v="0"/>
    <x v="6"/>
    <x v="3"/>
    <x v="2"/>
    <x v="1"/>
    <x v="1"/>
    <n v="70892"/>
    <n v="294255"/>
    <x v="102"/>
    <n v="0.97"/>
    <n v="6.29"/>
    <n v="1.2"/>
    <n v="5"/>
    <x v="199"/>
    <n v="77910308"/>
    <x v="224"/>
  </r>
  <r>
    <x v="4"/>
    <x v="4"/>
    <x v="5"/>
    <x v="8"/>
    <x v="0"/>
    <x v="2"/>
    <n v="112242"/>
    <n v="490041"/>
    <x v="170"/>
    <n v="0.97"/>
    <n v="6.29"/>
    <n v="1.2"/>
    <n v="9"/>
    <x v="200"/>
    <n v="100344348"/>
    <x v="225"/>
  </r>
  <r>
    <x v="5"/>
    <x v="7"/>
    <x v="2"/>
    <x v="1"/>
    <x v="1"/>
    <x v="3"/>
    <n v="112606"/>
    <n v="160361"/>
    <x v="141"/>
    <n v="0.97"/>
    <n v="6.29"/>
    <n v="1.2"/>
    <n v="3"/>
    <x v="201"/>
    <n v="74882990"/>
    <x v="226"/>
  </r>
  <r>
    <x v="0"/>
    <x v="8"/>
    <x v="9"/>
    <x v="1"/>
    <x v="1"/>
    <x v="0"/>
    <n v="35924"/>
    <n v="336744"/>
    <x v="17"/>
    <n v="0.97"/>
    <n v="6.29"/>
    <n v="1.2"/>
    <n v="3"/>
    <x v="202"/>
    <n v="29816920"/>
    <x v="227"/>
  </r>
  <r>
    <x v="4"/>
    <x v="11"/>
    <x v="6"/>
    <x v="7"/>
    <x v="1"/>
    <x v="2"/>
    <n v="86322"/>
    <n v="349850"/>
    <x v="171"/>
    <n v="0.97"/>
    <n v="6.29"/>
    <n v="1.2"/>
    <n v="7"/>
    <x v="36"/>
    <n v="60857010"/>
    <x v="228"/>
  </r>
  <r>
    <x v="9"/>
    <x v="0"/>
    <x v="2"/>
    <x v="0"/>
    <x v="0"/>
    <x v="1"/>
    <n v="61478"/>
    <n v="331366"/>
    <x v="161"/>
    <n v="0.97"/>
    <n v="6.29"/>
    <n v="1.2"/>
    <n v="7"/>
    <x v="203"/>
    <n v="22132080"/>
    <x v="229"/>
  </r>
  <r>
    <x v="1"/>
    <x v="5"/>
    <x v="9"/>
    <x v="9"/>
    <x v="0"/>
    <x v="2"/>
    <n v="106042"/>
    <n v="411185"/>
    <x v="172"/>
    <n v="0.97"/>
    <n v="6.29"/>
    <n v="1.2"/>
    <n v="6"/>
    <x v="2"/>
    <n v="16118384"/>
    <x v="230"/>
  </r>
  <r>
    <x v="8"/>
    <x v="7"/>
    <x v="1"/>
    <x v="4"/>
    <x v="0"/>
    <x v="1"/>
    <n v="81418"/>
    <n v="416648"/>
    <x v="161"/>
    <n v="0.97"/>
    <n v="6.29"/>
    <n v="1.2"/>
    <n v="3"/>
    <x v="204"/>
    <n v="13189716"/>
    <x v="231"/>
  </r>
  <r>
    <x v="7"/>
    <x v="8"/>
    <x v="0"/>
    <x v="9"/>
    <x v="0"/>
    <x v="0"/>
    <n v="97217"/>
    <n v="91139"/>
    <x v="173"/>
    <n v="0.97"/>
    <n v="6.29"/>
    <n v="1.2"/>
    <n v="7"/>
    <x v="205"/>
    <n v="39956187"/>
    <x v="232"/>
  </r>
  <r>
    <x v="8"/>
    <x v="6"/>
    <x v="3"/>
    <x v="7"/>
    <x v="1"/>
    <x v="0"/>
    <n v="115846"/>
    <n v="164919"/>
    <x v="2"/>
    <n v="0.97"/>
    <n v="6.29"/>
    <n v="1.2"/>
    <n v="5"/>
    <x v="206"/>
    <n v="41588714"/>
    <x v="233"/>
  </r>
  <r>
    <x v="3"/>
    <x v="2"/>
    <x v="4"/>
    <x v="2"/>
    <x v="1"/>
    <x v="3"/>
    <n v="108762"/>
    <n v="297677"/>
    <x v="174"/>
    <n v="0.97"/>
    <n v="6.29"/>
    <n v="1.2"/>
    <n v="7"/>
    <x v="207"/>
    <n v="39915654"/>
    <x v="234"/>
  </r>
  <r>
    <x v="3"/>
    <x v="10"/>
    <x v="9"/>
    <x v="4"/>
    <x v="0"/>
    <x v="1"/>
    <n v="46781"/>
    <n v="353446"/>
    <x v="175"/>
    <n v="0.97"/>
    <n v="6.29"/>
    <n v="1.2"/>
    <n v="2"/>
    <x v="17"/>
    <n v="30126964"/>
    <x v="235"/>
  </r>
  <r>
    <x v="0"/>
    <x v="5"/>
    <x v="4"/>
    <x v="8"/>
    <x v="0"/>
    <x v="3"/>
    <n v="40515"/>
    <n v="275756"/>
    <x v="176"/>
    <n v="0.97"/>
    <n v="6.29"/>
    <n v="1.2"/>
    <n v="6"/>
    <x v="132"/>
    <n v="21472950"/>
    <x v="236"/>
  </r>
  <r>
    <x v="9"/>
    <x v="6"/>
    <x v="0"/>
    <x v="9"/>
    <x v="0"/>
    <x v="3"/>
    <n v="71133"/>
    <n v="399982"/>
    <x v="95"/>
    <n v="0.97"/>
    <n v="6.29"/>
    <n v="1.2"/>
    <n v="8"/>
    <x v="76"/>
    <n v="63948567"/>
    <x v="237"/>
  </r>
  <r>
    <x v="9"/>
    <x v="8"/>
    <x v="8"/>
    <x v="8"/>
    <x v="0"/>
    <x v="0"/>
    <n v="117508"/>
    <n v="189718"/>
    <x v="125"/>
    <n v="0.97"/>
    <n v="6.29"/>
    <n v="1.2"/>
    <n v="1"/>
    <x v="208"/>
    <n v="64629400"/>
    <x v="238"/>
  </r>
  <r>
    <x v="5"/>
    <x v="5"/>
    <x v="5"/>
    <x v="9"/>
    <x v="0"/>
    <x v="2"/>
    <n v="111946"/>
    <n v="194615"/>
    <x v="177"/>
    <n v="0.97"/>
    <n v="6.29"/>
    <n v="1.2"/>
    <n v="4"/>
    <x v="209"/>
    <n v="101087238"/>
    <x v="239"/>
  </r>
  <r>
    <x v="5"/>
    <x v="3"/>
    <x v="3"/>
    <x v="8"/>
    <x v="0"/>
    <x v="2"/>
    <n v="44095"/>
    <n v="275568"/>
    <x v="59"/>
    <n v="0.97"/>
    <n v="6.29"/>
    <n v="1.2"/>
    <n v="1"/>
    <x v="210"/>
    <n v="37921700"/>
    <x v="240"/>
  </r>
  <r>
    <x v="5"/>
    <x v="7"/>
    <x v="0"/>
    <x v="9"/>
    <x v="0"/>
    <x v="3"/>
    <n v="55470"/>
    <n v="203857"/>
    <x v="178"/>
    <n v="0.97"/>
    <n v="6.29"/>
    <n v="1.2"/>
    <n v="1"/>
    <x v="211"/>
    <n v="56135640"/>
    <x v="241"/>
  </r>
  <r>
    <x v="1"/>
    <x v="8"/>
    <x v="0"/>
    <x v="8"/>
    <x v="0"/>
    <x v="0"/>
    <n v="78129"/>
    <n v="390497"/>
    <x v="87"/>
    <n v="0.97"/>
    <n v="6.29"/>
    <n v="1.2"/>
    <n v="10"/>
    <x v="212"/>
    <n v="42033402"/>
    <x v="242"/>
  </r>
  <r>
    <x v="2"/>
    <x v="3"/>
    <x v="1"/>
    <x v="7"/>
    <x v="1"/>
    <x v="1"/>
    <n v="43531"/>
    <n v="474622"/>
    <x v="179"/>
    <n v="0.97"/>
    <n v="6.29"/>
    <n v="1.2"/>
    <n v="8"/>
    <x v="213"/>
    <n v="22461996"/>
    <x v="243"/>
  </r>
  <r>
    <x v="6"/>
    <x v="1"/>
    <x v="2"/>
    <x v="5"/>
    <x v="0"/>
    <x v="2"/>
    <n v="72038"/>
    <n v="401136"/>
    <x v="180"/>
    <n v="0.97"/>
    <n v="6.29"/>
    <n v="1.2"/>
    <n v="7"/>
    <x v="214"/>
    <n v="29319466"/>
    <x v="244"/>
  </r>
  <r>
    <x v="2"/>
    <x v="11"/>
    <x v="5"/>
    <x v="4"/>
    <x v="0"/>
    <x v="3"/>
    <n v="77674"/>
    <n v="363572"/>
    <x v="181"/>
    <n v="0.97"/>
    <n v="6.29"/>
    <n v="1.2"/>
    <n v="10"/>
    <x v="215"/>
    <n v="71848450"/>
    <x v="245"/>
  </r>
  <r>
    <x v="8"/>
    <x v="2"/>
    <x v="3"/>
    <x v="0"/>
    <x v="0"/>
    <x v="2"/>
    <n v="117476"/>
    <n v="73777"/>
    <x v="12"/>
    <n v="0.97"/>
    <n v="6.29"/>
    <n v="1.2"/>
    <n v="1"/>
    <x v="216"/>
    <n v="120412900"/>
    <x v="246"/>
  </r>
  <r>
    <x v="2"/>
    <x v="7"/>
    <x v="8"/>
    <x v="2"/>
    <x v="1"/>
    <x v="2"/>
    <n v="64831"/>
    <n v="107939"/>
    <x v="182"/>
    <n v="0.97"/>
    <n v="6.29"/>
    <n v="1.2"/>
    <n v="2"/>
    <x v="217"/>
    <n v="29173950"/>
    <x v="247"/>
  </r>
  <r>
    <x v="1"/>
    <x v="5"/>
    <x v="8"/>
    <x v="3"/>
    <x v="1"/>
    <x v="1"/>
    <n v="92174"/>
    <n v="496242"/>
    <x v="63"/>
    <n v="0.97"/>
    <n v="6.29"/>
    <n v="1.2"/>
    <n v="4"/>
    <x v="41"/>
    <n v="50050482"/>
    <x v="248"/>
  </r>
  <r>
    <x v="8"/>
    <x v="10"/>
    <x v="7"/>
    <x v="6"/>
    <x v="1"/>
    <x v="0"/>
    <n v="46279"/>
    <n v="398594"/>
    <x v="183"/>
    <n v="0.97"/>
    <n v="6.29"/>
    <n v="1.2"/>
    <n v="1"/>
    <x v="218"/>
    <n v="46232721"/>
    <x v="249"/>
  </r>
  <r>
    <x v="2"/>
    <x v="6"/>
    <x v="0"/>
    <x v="0"/>
    <x v="0"/>
    <x v="1"/>
    <n v="73220"/>
    <n v="472769"/>
    <x v="184"/>
    <n v="0.97"/>
    <n v="6.29"/>
    <n v="1.2"/>
    <n v="3"/>
    <x v="219"/>
    <n v="59381420"/>
    <x v="250"/>
  </r>
  <r>
    <x v="1"/>
    <x v="0"/>
    <x v="9"/>
    <x v="6"/>
    <x v="1"/>
    <x v="0"/>
    <n v="95610"/>
    <n v="73548"/>
    <x v="145"/>
    <n v="0.97"/>
    <n v="6.29"/>
    <n v="1.2"/>
    <n v="8"/>
    <x v="135"/>
    <n v="65492850"/>
    <x v="251"/>
  </r>
  <r>
    <x v="6"/>
    <x v="6"/>
    <x v="1"/>
    <x v="4"/>
    <x v="0"/>
    <x v="2"/>
    <n v="87719"/>
    <n v="480481"/>
    <x v="11"/>
    <n v="0.97"/>
    <n v="6.29"/>
    <n v="1.2"/>
    <n v="8"/>
    <x v="66"/>
    <n v="74297993"/>
    <x v="252"/>
  </r>
  <r>
    <x v="2"/>
    <x v="5"/>
    <x v="5"/>
    <x v="0"/>
    <x v="0"/>
    <x v="3"/>
    <n v="88051"/>
    <n v="175549"/>
    <x v="40"/>
    <n v="0.97"/>
    <n v="6.29"/>
    <n v="1.2"/>
    <n v="8"/>
    <x v="220"/>
    <n v="18402659"/>
    <x v="253"/>
  </r>
  <r>
    <x v="1"/>
    <x v="2"/>
    <x v="8"/>
    <x v="8"/>
    <x v="0"/>
    <x v="1"/>
    <n v="107013"/>
    <n v="483917"/>
    <x v="98"/>
    <n v="0.97"/>
    <n v="6.29"/>
    <n v="1.2"/>
    <n v="6"/>
    <x v="221"/>
    <n v="89890920"/>
    <x v="254"/>
  </r>
  <r>
    <x v="5"/>
    <x v="6"/>
    <x v="3"/>
    <x v="8"/>
    <x v="0"/>
    <x v="0"/>
    <n v="91652"/>
    <n v="494503"/>
    <x v="158"/>
    <n v="0.97"/>
    <n v="6.29"/>
    <n v="1.2"/>
    <n v="6"/>
    <x v="15"/>
    <n v="66447700"/>
    <x v="255"/>
  </r>
  <r>
    <x v="9"/>
    <x v="11"/>
    <x v="7"/>
    <x v="3"/>
    <x v="1"/>
    <x v="2"/>
    <n v="100524"/>
    <n v="187799"/>
    <x v="24"/>
    <n v="0.97"/>
    <n v="6.29"/>
    <n v="1.2"/>
    <n v="5"/>
    <x v="222"/>
    <n v="34580256"/>
    <x v="256"/>
  </r>
  <r>
    <x v="5"/>
    <x v="2"/>
    <x v="3"/>
    <x v="6"/>
    <x v="1"/>
    <x v="0"/>
    <n v="117936"/>
    <n v="291532"/>
    <x v="82"/>
    <n v="0.97"/>
    <n v="6.29"/>
    <n v="1.2"/>
    <n v="9"/>
    <x v="223"/>
    <n v="52009776"/>
    <x v="257"/>
  </r>
  <r>
    <x v="9"/>
    <x v="8"/>
    <x v="1"/>
    <x v="2"/>
    <x v="1"/>
    <x v="0"/>
    <n v="41470"/>
    <n v="231789"/>
    <x v="91"/>
    <n v="0.97"/>
    <n v="6.29"/>
    <n v="1.2"/>
    <n v="4"/>
    <x v="224"/>
    <n v="11653070"/>
    <x v="258"/>
  </r>
  <r>
    <x v="7"/>
    <x v="3"/>
    <x v="9"/>
    <x v="4"/>
    <x v="0"/>
    <x v="0"/>
    <n v="102598"/>
    <n v="475643"/>
    <x v="185"/>
    <n v="0.97"/>
    <n v="6.29"/>
    <n v="1.2"/>
    <n v="10"/>
    <x v="225"/>
    <n v="64123750"/>
    <x v="259"/>
  </r>
  <r>
    <x v="7"/>
    <x v="0"/>
    <x v="7"/>
    <x v="8"/>
    <x v="0"/>
    <x v="2"/>
    <n v="76798"/>
    <n v="197764"/>
    <x v="186"/>
    <n v="0.97"/>
    <n v="6.29"/>
    <n v="1.2"/>
    <n v="7"/>
    <x v="226"/>
    <n v="84784992"/>
    <x v="260"/>
  </r>
  <r>
    <x v="7"/>
    <x v="9"/>
    <x v="7"/>
    <x v="5"/>
    <x v="0"/>
    <x v="3"/>
    <n v="88473"/>
    <n v="81625"/>
    <x v="187"/>
    <n v="0.97"/>
    <n v="6.29"/>
    <n v="1.2"/>
    <n v="1"/>
    <x v="227"/>
    <n v="47775420"/>
    <x v="261"/>
  </r>
  <r>
    <x v="6"/>
    <x v="5"/>
    <x v="2"/>
    <x v="7"/>
    <x v="1"/>
    <x v="3"/>
    <n v="54880"/>
    <n v="337062"/>
    <x v="188"/>
    <n v="0.97"/>
    <n v="6.29"/>
    <n v="1.2"/>
    <n v="9"/>
    <x v="178"/>
    <n v="25080160"/>
    <x v="262"/>
  </r>
  <r>
    <x v="5"/>
    <x v="4"/>
    <x v="5"/>
    <x v="7"/>
    <x v="1"/>
    <x v="3"/>
    <n v="79439"/>
    <n v="484352"/>
    <x v="8"/>
    <n v="0.97"/>
    <n v="6.29"/>
    <n v="1.2"/>
    <n v="7"/>
    <x v="228"/>
    <n v="33364380"/>
    <x v="263"/>
  </r>
  <r>
    <x v="9"/>
    <x v="9"/>
    <x v="7"/>
    <x v="9"/>
    <x v="0"/>
    <x v="0"/>
    <n v="49308"/>
    <n v="426970"/>
    <x v="189"/>
    <n v="0.97"/>
    <n v="6.29"/>
    <n v="1.2"/>
    <n v="10"/>
    <x v="229"/>
    <n v="44229276"/>
    <x v="264"/>
  </r>
  <r>
    <x v="1"/>
    <x v="6"/>
    <x v="2"/>
    <x v="2"/>
    <x v="1"/>
    <x v="2"/>
    <n v="70081"/>
    <n v="164881"/>
    <x v="190"/>
    <n v="0.97"/>
    <n v="6.29"/>
    <n v="1.2"/>
    <n v="9"/>
    <x v="230"/>
    <n v="37072849"/>
    <x v="265"/>
  </r>
  <r>
    <x v="8"/>
    <x v="5"/>
    <x v="2"/>
    <x v="7"/>
    <x v="1"/>
    <x v="0"/>
    <n v="110242"/>
    <n v="495625"/>
    <x v="121"/>
    <n v="0.97"/>
    <n v="6.29"/>
    <n v="1.2"/>
    <n v="7"/>
    <x v="231"/>
    <n v="103958206"/>
    <x v="266"/>
  </r>
  <r>
    <x v="1"/>
    <x v="3"/>
    <x v="1"/>
    <x v="9"/>
    <x v="0"/>
    <x v="3"/>
    <n v="85383"/>
    <n v="327721"/>
    <x v="114"/>
    <n v="0.97"/>
    <n v="6.29"/>
    <n v="1.2"/>
    <n v="2"/>
    <x v="232"/>
    <n v="54132822"/>
    <x v="267"/>
  </r>
  <r>
    <x v="8"/>
    <x v="1"/>
    <x v="4"/>
    <x v="6"/>
    <x v="1"/>
    <x v="3"/>
    <n v="44837"/>
    <n v="397299"/>
    <x v="55"/>
    <n v="0.97"/>
    <n v="6.29"/>
    <n v="1.2"/>
    <n v="6"/>
    <x v="233"/>
    <n v="30040790"/>
    <x v="268"/>
  </r>
  <r>
    <x v="3"/>
    <x v="3"/>
    <x v="3"/>
    <x v="8"/>
    <x v="0"/>
    <x v="2"/>
    <n v="87151"/>
    <n v="161776"/>
    <x v="191"/>
    <n v="0.97"/>
    <n v="6.29"/>
    <n v="1.2"/>
    <n v="10"/>
    <x v="44"/>
    <n v="87238151"/>
    <x v="269"/>
  </r>
  <r>
    <x v="1"/>
    <x v="4"/>
    <x v="9"/>
    <x v="8"/>
    <x v="0"/>
    <x v="0"/>
    <n v="71824"/>
    <n v="411390"/>
    <x v="173"/>
    <n v="0.97"/>
    <n v="6.29"/>
    <n v="1.2"/>
    <n v="4"/>
    <x v="234"/>
    <n v="13718384"/>
    <x v="270"/>
  </r>
  <r>
    <x v="2"/>
    <x v="0"/>
    <x v="6"/>
    <x v="5"/>
    <x v="0"/>
    <x v="1"/>
    <n v="68073"/>
    <n v="283996"/>
    <x v="171"/>
    <n v="0.97"/>
    <n v="6.29"/>
    <n v="1.2"/>
    <n v="3"/>
    <x v="235"/>
    <n v="63784401"/>
    <x v="271"/>
  </r>
  <r>
    <x v="2"/>
    <x v="3"/>
    <x v="3"/>
    <x v="0"/>
    <x v="0"/>
    <x v="1"/>
    <n v="61299"/>
    <n v="307831"/>
    <x v="192"/>
    <n v="0.97"/>
    <n v="6.29"/>
    <n v="1.2"/>
    <n v="2"/>
    <x v="236"/>
    <n v="28871829"/>
    <x v="272"/>
  </r>
  <r>
    <x v="0"/>
    <x v="10"/>
    <x v="7"/>
    <x v="7"/>
    <x v="1"/>
    <x v="3"/>
    <n v="93861"/>
    <n v="262803"/>
    <x v="76"/>
    <n v="0.97"/>
    <n v="6.29"/>
    <n v="1.2"/>
    <n v="6"/>
    <x v="237"/>
    <n v="57724515"/>
    <x v="273"/>
  </r>
  <r>
    <x v="5"/>
    <x v="1"/>
    <x v="9"/>
    <x v="6"/>
    <x v="1"/>
    <x v="2"/>
    <n v="65063"/>
    <n v="208761"/>
    <x v="193"/>
    <n v="0.97"/>
    <n v="6.29"/>
    <n v="1.2"/>
    <n v="8"/>
    <x v="179"/>
    <n v="15940435"/>
    <x v="274"/>
  </r>
  <r>
    <x v="8"/>
    <x v="9"/>
    <x v="8"/>
    <x v="1"/>
    <x v="1"/>
    <x v="0"/>
    <n v="104453"/>
    <n v="192226"/>
    <x v="172"/>
    <n v="0.97"/>
    <n v="6.29"/>
    <n v="1.2"/>
    <n v="6"/>
    <x v="238"/>
    <n v="27680045"/>
    <x v="275"/>
  </r>
  <r>
    <x v="8"/>
    <x v="8"/>
    <x v="4"/>
    <x v="7"/>
    <x v="1"/>
    <x v="0"/>
    <n v="103472"/>
    <n v="407092"/>
    <x v="194"/>
    <n v="0.97"/>
    <n v="6.29"/>
    <n v="1.2"/>
    <n v="9"/>
    <x v="239"/>
    <n v="32386736"/>
    <x v="276"/>
  </r>
  <r>
    <x v="5"/>
    <x v="11"/>
    <x v="8"/>
    <x v="2"/>
    <x v="1"/>
    <x v="3"/>
    <n v="49506"/>
    <n v="71341"/>
    <x v="195"/>
    <n v="0.97"/>
    <n v="6.29"/>
    <n v="1.2"/>
    <n v="5"/>
    <x v="240"/>
    <n v="33367044"/>
    <x v="277"/>
  </r>
  <r>
    <x v="6"/>
    <x v="10"/>
    <x v="8"/>
    <x v="0"/>
    <x v="0"/>
    <x v="3"/>
    <n v="114854"/>
    <n v="409698"/>
    <x v="3"/>
    <n v="0.97"/>
    <n v="6.29"/>
    <n v="1.2"/>
    <n v="2"/>
    <x v="241"/>
    <n v="92687178"/>
    <x v="278"/>
  </r>
  <r>
    <x v="0"/>
    <x v="1"/>
    <x v="5"/>
    <x v="7"/>
    <x v="1"/>
    <x v="0"/>
    <n v="61026"/>
    <n v="255753"/>
    <x v="196"/>
    <n v="0.97"/>
    <n v="6.29"/>
    <n v="1.2"/>
    <n v="8"/>
    <x v="242"/>
    <n v="12266226"/>
    <x v="279"/>
  </r>
  <r>
    <x v="6"/>
    <x v="8"/>
    <x v="3"/>
    <x v="6"/>
    <x v="1"/>
    <x v="0"/>
    <n v="62672"/>
    <n v="419942"/>
    <x v="112"/>
    <n v="0.97"/>
    <n v="6.29"/>
    <n v="1.2"/>
    <n v="9"/>
    <x v="130"/>
    <n v="53145856"/>
    <x v="280"/>
  </r>
  <r>
    <x v="6"/>
    <x v="8"/>
    <x v="6"/>
    <x v="7"/>
    <x v="1"/>
    <x v="3"/>
    <n v="73417"/>
    <n v="358474"/>
    <x v="129"/>
    <n v="0.97"/>
    <n v="6.29"/>
    <n v="1.2"/>
    <n v="10"/>
    <x v="10"/>
    <n v="32817399"/>
    <x v="281"/>
  </r>
  <r>
    <x v="6"/>
    <x v="5"/>
    <x v="1"/>
    <x v="2"/>
    <x v="1"/>
    <x v="0"/>
    <n v="87413"/>
    <n v="299141"/>
    <x v="22"/>
    <n v="0.97"/>
    <n v="6.29"/>
    <n v="1.2"/>
    <n v="4"/>
    <x v="243"/>
    <n v="91871063"/>
    <x v="282"/>
  </r>
  <r>
    <x v="5"/>
    <x v="1"/>
    <x v="6"/>
    <x v="1"/>
    <x v="1"/>
    <x v="1"/>
    <n v="100066"/>
    <n v="399903"/>
    <x v="197"/>
    <n v="0.97"/>
    <n v="6.29"/>
    <n v="1.2"/>
    <n v="6"/>
    <x v="244"/>
    <n v="43628776"/>
    <x v="283"/>
  </r>
  <r>
    <x v="6"/>
    <x v="0"/>
    <x v="8"/>
    <x v="4"/>
    <x v="0"/>
    <x v="3"/>
    <n v="94213"/>
    <n v="249488"/>
    <x v="164"/>
    <n v="0.97"/>
    <n v="6.29"/>
    <n v="1.2"/>
    <n v="10"/>
    <x v="245"/>
    <n v="18559961"/>
    <x v="284"/>
  </r>
  <r>
    <x v="2"/>
    <x v="6"/>
    <x v="7"/>
    <x v="3"/>
    <x v="1"/>
    <x v="0"/>
    <n v="85971"/>
    <n v="306139"/>
    <x v="12"/>
    <n v="0.97"/>
    <n v="6.29"/>
    <n v="1.2"/>
    <n v="8"/>
    <x v="246"/>
    <n v="87776391"/>
    <x v="285"/>
  </r>
  <r>
    <x v="7"/>
    <x v="4"/>
    <x v="4"/>
    <x v="1"/>
    <x v="1"/>
    <x v="3"/>
    <n v="62281"/>
    <n v="398951"/>
    <x v="23"/>
    <n v="0.97"/>
    <n v="6.29"/>
    <n v="1.2"/>
    <n v="9"/>
    <x v="247"/>
    <n v="39859840"/>
    <x v="286"/>
  </r>
  <r>
    <x v="3"/>
    <x v="4"/>
    <x v="0"/>
    <x v="9"/>
    <x v="0"/>
    <x v="2"/>
    <n v="63091"/>
    <n v="345457"/>
    <x v="198"/>
    <n v="0.97"/>
    <n v="6.29"/>
    <n v="1.2"/>
    <n v="5"/>
    <x v="248"/>
    <n v="68201371"/>
    <x v="287"/>
  </r>
  <r>
    <x v="8"/>
    <x v="9"/>
    <x v="6"/>
    <x v="7"/>
    <x v="1"/>
    <x v="3"/>
    <n v="85494"/>
    <n v="359044"/>
    <x v="199"/>
    <n v="0.97"/>
    <n v="6.29"/>
    <n v="1.2"/>
    <n v="6"/>
    <x v="96"/>
    <n v="8549400"/>
    <x v="288"/>
  </r>
  <r>
    <x v="8"/>
    <x v="9"/>
    <x v="8"/>
    <x v="8"/>
    <x v="0"/>
    <x v="3"/>
    <n v="53610"/>
    <n v="128840"/>
    <x v="141"/>
    <n v="0.97"/>
    <n v="6.29"/>
    <n v="1.2"/>
    <n v="4"/>
    <x v="249"/>
    <n v="36186750"/>
    <x v="289"/>
  </r>
  <r>
    <x v="3"/>
    <x v="4"/>
    <x v="4"/>
    <x v="5"/>
    <x v="0"/>
    <x v="2"/>
    <n v="36079"/>
    <n v="215767"/>
    <x v="200"/>
    <n v="0.97"/>
    <n v="6.29"/>
    <n v="1.2"/>
    <n v="5"/>
    <x v="250"/>
    <n v="12663729"/>
    <x v="290"/>
  </r>
  <r>
    <x v="5"/>
    <x v="3"/>
    <x v="9"/>
    <x v="8"/>
    <x v="0"/>
    <x v="1"/>
    <n v="81751"/>
    <n v="211297"/>
    <x v="201"/>
    <n v="0.97"/>
    <n v="6.29"/>
    <n v="1.2"/>
    <n v="7"/>
    <x v="251"/>
    <n v="29021605"/>
    <x v="291"/>
  </r>
  <r>
    <x v="1"/>
    <x v="0"/>
    <x v="3"/>
    <x v="1"/>
    <x v="1"/>
    <x v="0"/>
    <n v="90432"/>
    <n v="398216"/>
    <x v="45"/>
    <n v="0.97"/>
    <n v="6.29"/>
    <n v="1.2"/>
    <n v="9"/>
    <x v="252"/>
    <n v="108066240"/>
    <x v="292"/>
  </r>
  <r>
    <x v="5"/>
    <x v="3"/>
    <x v="2"/>
    <x v="8"/>
    <x v="0"/>
    <x v="2"/>
    <n v="65951"/>
    <n v="408511"/>
    <x v="186"/>
    <n v="0.97"/>
    <n v="6.29"/>
    <n v="1.2"/>
    <n v="10"/>
    <x v="219"/>
    <n v="53486261"/>
    <x v="293"/>
  </r>
  <r>
    <x v="8"/>
    <x v="3"/>
    <x v="5"/>
    <x v="6"/>
    <x v="1"/>
    <x v="3"/>
    <n v="115863"/>
    <n v="99156"/>
    <x v="15"/>
    <n v="0.97"/>
    <n v="6.29"/>
    <n v="1.2"/>
    <n v="6"/>
    <x v="253"/>
    <n v="54803199"/>
    <x v="294"/>
  </r>
  <r>
    <x v="8"/>
    <x v="11"/>
    <x v="4"/>
    <x v="8"/>
    <x v="0"/>
    <x v="0"/>
    <n v="113291"/>
    <n v="258281"/>
    <x v="202"/>
    <n v="0.97"/>
    <n v="6.29"/>
    <n v="1.2"/>
    <n v="6"/>
    <x v="254"/>
    <n v="116349857"/>
    <x v="295"/>
  </r>
  <r>
    <x v="3"/>
    <x v="7"/>
    <x v="7"/>
    <x v="0"/>
    <x v="0"/>
    <x v="2"/>
    <n v="94872"/>
    <n v="137453"/>
    <x v="55"/>
    <n v="0.97"/>
    <n v="6.29"/>
    <n v="1.2"/>
    <n v="8"/>
    <x v="255"/>
    <n v="47910360"/>
    <x v="296"/>
  </r>
  <r>
    <x v="6"/>
    <x v="6"/>
    <x v="7"/>
    <x v="4"/>
    <x v="0"/>
    <x v="0"/>
    <n v="42235"/>
    <n v="208901"/>
    <x v="180"/>
    <n v="0.97"/>
    <n v="6.29"/>
    <n v="1.2"/>
    <n v="4"/>
    <x v="256"/>
    <n v="15584715"/>
    <x v="297"/>
  </r>
  <r>
    <x v="5"/>
    <x v="11"/>
    <x v="4"/>
    <x v="7"/>
    <x v="1"/>
    <x v="0"/>
    <n v="117733"/>
    <n v="75938"/>
    <x v="130"/>
    <n v="0.97"/>
    <n v="6.29"/>
    <n v="1.2"/>
    <n v="3"/>
    <x v="28"/>
    <n v="92067206"/>
    <x v="298"/>
  </r>
  <r>
    <x v="9"/>
    <x v="5"/>
    <x v="7"/>
    <x v="8"/>
    <x v="0"/>
    <x v="2"/>
    <n v="97712"/>
    <n v="109164"/>
    <x v="203"/>
    <n v="0.97"/>
    <n v="6.29"/>
    <n v="1.2"/>
    <n v="7"/>
    <x v="257"/>
    <n v="42211584"/>
    <x v="299"/>
  </r>
  <r>
    <x v="3"/>
    <x v="7"/>
    <x v="3"/>
    <x v="2"/>
    <x v="1"/>
    <x v="0"/>
    <n v="56473"/>
    <n v="497746"/>
    <x v="15"/>
    <n v="0.97"/>
    <n v="6.29"/>
    <n v="1.2"/>
    <n v="5"/>
    <x v="30"/>
    <n v="43653629"/>
    <x v="300"/>
  </r>
  <r>
    <x v="2"/>
    <x v="7"/>
    <x v="7"/>
    <x v="4"/>
    <x v="0"/>
    <x v="1"/>
    <n v="102567"/>
    <n v="249271"/>
    <x v="10"/>
    <n v="0.97"/>
    <n v="6.29"/>
    <n v="1.2"/>
    <n v="2"/>
    <x v="258"/>
    <n v="56822118"/>
    <x v="301"/>
  </r>
  <r>
    <x v="8"/>
    <x v="1"/>
    <x v="6"/>
    <x v="4"/>
    <x v="0"/>
    <x v="2"/>
    <n v="114823"/>
    <n v="110282"/>
    <x v="199"/>
    <n v="0.97"/>
    <n v="6.29"/>
    <n v="1.2"/>
    <n v="2"/>
    <x v="259"/>
    <n v="45699554"/>
    <x v="302"/>
  </r>
  <r>
    <x v="3"/>
    <x v="0"/>
    <x v="2"/>
    <x v="8"/>
    <x v="0"/>
    <x v="1"/>
    <n v="67230"/>
    <n v="359945"/>
    <x v="53"/>
    <n v="0.97"/>
    <n v="6.29"/>
    <n v="1.2"/>
    <n v="6"/>
    <x v="260"/>
    <n v="28505520"/>
    <x v="303"/>
  </r>
  <r>
    <x v="5"/>
    <x v="0"/>
    <x v="7"/>
    <x v="4"/>
    <x v="0"/>
    <x v="3"/>
    <n v="119573"/>
    <n v="452681"/>
    <x v="49"/>
    <n v="0.97"/>
    <n v="6.29"/>
    <n v="1.2"/>
    <n v="8"/>
    <x v="261"/>
    <n v="8011391"/>
    <x v="304"/>
  </r>
  <r>
    <x v="8"/>
    <x v="7"/>
    <x v="2"/>
    <x v="5"/>
    <x v="0"/>
    <x v="0"/>
    <n v="103876"/>
    <n v="315470"/>
    <x v="204"/>
    <n v="0.97"/>
    <n v="6.29"/>
    <n v="1.2"/>
    <n v="1"/>
    <x v="227"/>
    <n v="56093040"/>
    <x v="305"/>
  </r>
  <r>
    <x v="1"/>
    <x v="3"/>
    <x v="8"/>
    <x v="8"/>
    <x v="0"/>
    <x v="3"/>
    <n v="75644"/>
    <n v="446875"/>
    <x v="205"/>
    <n v="0.97"/>
    <n v="6.29"/>
    <n v="1.2"/>
    <n v="6"/>
    <x v="163"/>
    <n v="67096228"/>
    <x v="306"/>
  </r>
  <r>
    <x v="3"/>
    <x v="1"/>
    <x v="1"/>
    <x v="6"/>
    <x v="1"/>
    <x v="3"/>
    <n v="83664"/>
    <n v="208666"/>
    <x v="206"/>
    <n v="0.97"/>
    <n v="6.29"/>
    <n v="1.2"/>
    <n v="2"/>
    <x v="5"/>
    <n v="57477168"/>
    <x v="307"/>
  </r>
  <r>
    <x v="0"/>
    <x v="6"/>
    <x v="3"/>
    <x v="1"/>
    <x v="1"/>
    <x v="0"/>
    <n v="80203"/>
    <n v="165819"/>
    <x v="63"/>
    <n v="0.97"/>
    <n v="6.29"/>
    <n v="1.2"/>
    <n v="2"/>
    <x v="262"/>
    <n v="41224342"/>
    <x v="308"/>
  </r>
  <r>
    <x v="8"/>
    <x v="7"/>
    <x v="1"/>
    <x v="0"/>
    <x v="0"/>
    <x v="2"/>
    <n v="101677"/>
    <n v="316907"/>
    <x v="25"/>
    <n v="0.97"/>
    <n v="6.29"/>
    <n v="1.2"/>
    <n v="7"/>
    <x v="263"/>
    <n v="25927635"/>
    <x v="309"/>
  </r>
  <r>
    <x v="5"/>
    <x v="10"/>
    <x v="8"/>
    <x v="3"/>
    <x v="1"/>
    <x v="0"/>
    <n v="60425"/>
    <n v="191900"/>
    <x v="40"/>
    <n v="0.97"/>
    <n v="6.29"/>
    <n v="1.2"/>
    <n v="10"/>
    <x v="264"/>
    <n v="18248350"/>
    <x v="310"/>
  </r>
  <r>
    <x v="7"/>
    <x v="9"/>
    <x v="3"/>
    <x v="9"/>
    <x v="0"/>
    <x v="3"/>
    <n v="119817"/>
    <n v="359732"/>
    <x v="128"/>
    <n v="0.97"/>
    <n v="6.29"/>
    <n v="1.2"/>
    <n v="1"/>
    <x v="3"/>
    <n v="87466410"/>
    <x v="311"/>
  </r>
  <r>
    <x v="9"/>
    <x v="9"/>
    <x v="4"/>
    <x v="4"/>
    <x v="0"/>
    <x v="3"/>
    <n v="104806"/>
    <n v="323365"/>
    <x v="3"/>
    <n v="0.97"/>
    <n v="6.29"/>
    <n v="1.2"/>
    <n v="6"/>
    <x v="66"/>
    <n v="88770682"/>
    <x v="312"/>
  </r>
  <r>
    <x v="4"/>
    <x v="11"/>
    <x v="4"/>
    <x v="6"/>
    <x v="1"/>
    <x v="2"/>
    <n v="77814"/>
    <n v="454427"/>
    <x v="108"/>
    <n v="0.97"/>
    <n v="6.29"/>
    <n v="1.2"/>
    <n v="7"/>
    <x v="265"/>
    <n v="38751372"/>
    <x v="313"/>
  </r>
  <r>
    <x v="6"/>
    <x v="5"/>
    <x v="2"/>
    <x v="7"/>
    <x v="1"/>
    <x v="0"/>
    <n v="105219"/>
    <n v="63569"/>
    <x v="81"/>
    <n v="0.97"/>
    <n v="6.29"/>
    <n v="1.2"/>
    <n v="8"/>
    <x v="266"/>
    <n v="18518544"/>
    <x v="314"/>
  </r>
  <r>
    <x v="4"/>
    <x v="2"/>
    <x v="8"/>
    <x v="7"/>
    <x v="1"/>
    <x v="3"/>
    <n v="84646"/>
    <n v="277966"/>
    <x v="207"/>
    <n v="0.97"/>
    <n v="6.29"/>
    <n v="1.2"/>
    <n v="7"/>
    <x v="267"/>
    <n v="62299456"/>
    <x v="315"/>
  </r>
  <r>
    <x v="5"/>
    <x v="2"/>
    <x v="2"/>
    <x v="9"/>
    <x v="0"/>
    <x v="1"/>
    <n v="74884"/>
    <n v="87860"/>
    <x v="137"/>
    <n v="0.97"/>
    <n v="6.29"/>
    <n v="1.2"/>
    <n v="6"/>
    <x v="268"/>
    <n v="62603024"/>
    <x v="316"/>
  </r>
  <r>
    <x v="2"/>
    <x v="9"/>
    <x v="5"/>
    <x v="0"/>
    <x v="0"/>
    <x v="3"/>
    <n v="104322"/>
    <n v="252630"/>
    <x v="76"/>
    <n v="0.97"/>
    <n v="6.29"/>
    <n v="1.2"/>
    <n v="9"/>
    <x v="269"/>
    <n v="63532098"/>
    <x v="317"/>
  </r>
  <r>
    <x v="2"/>
    <x v="8"/>
    <x v="7"/>
    <x v="4"/>
    <x v="0"/>
    <x v="3"/>
    <n v="56650"/>
    <n v="357481"/>
    <x v="62"/>
    <n v="0.97"/>
    <n v="6.29"/>
    <n v="1.2"/>
    <n v="3"/>
    <x v="126"/>
    <n v="42657450"/>
    <x v="318"/>
  </r>
  <r>
    <x v="7"/>
    <x v="11"/>
    <x v="0"/>
    <x v="5"/>
    <x v="0"/>
    <x v="2"/>
    <n v="44190"/>
    <n v="495527"/>
    <x v="175"/>
    <n v="0.97"/>
    <n v="6.29"/>
    <n v="1.2"/>
    <n v="6"/>
    <x v="122"/>
    <n v="27928080"/>
    <x v="319"/>
  </r>
  <r>
    <x v="6"/>
    <x v="2"/>
    <x v="5"/>
    <x v="9"/>
    <x v="0"/>
    <x v="1"/>
    <n v="73196"/>
    <n v="194587"/>
    <x v="140"/>
    <n v="0.97"/>
    <n v="6.29"/>
    <n v="1.2"/>
    <n v="4"/>
    <x v="81"/>
    <n v="38867076"/>
    <x v="320"/>
  </r>
  <r>
    <x v="0"/>
    <x v="9"/>
    <x v="7"/>
    <x v="0"/>
    <x v="0"/>
    <x v="3"/>
    <n v="74449"/>
    <n v="121695"/>
    <x v="82"/>
    <n v="0.97"/>
    <n v="6.29"/>
    <n v="1.2"/>
    <n v="2"/>
    <x v="194"/>
    <n v="40351358"/>
    <x v="321"/>
  </r>
  <r>
    <x v="7"/>
    <x v="5"/>
    <x v="3"/>
    <x v="4"/>
    <x v="0"/>
    <x v="3"/>
    <n v="74661"/>
    <n v="303078"/>
    <x v="208"/>
    <n v="0.97"/>
    <n v="6.29"/>
    <n v="1.2"/>
    <n v="1"/>
    <x v="230"/>
    <n v="39495669"/>
    <x v="322"/>
  </r>
  <r>
    <x v="4"/>
    <x v="2"/>
    <x v="2"/>
    <x v="6"/>
    <x v="1"/>
    <x v="1"/>
    <n v="64709"/>
    <n v="292599"/>
    <x v="8"/>
    <n v="0.97"/>
    <n v="6.29"/>
    <n v="1.2"/>
    <n v="1"/>
    <x v="270"/>
    <n v="8412170"/>
    <x v="323"/>
  </r>
  <r>
    <x v="7"/>
    <x v="3"/>
    <x v="3"/>
    <x v="1"/>
    <x v="1"/>
    <x v="0"/>
    <n v="115428"/>
    <n v="418893"/>
    <x v="209"/>
    <n v="0.97"/>
    <n v="6.29"/>
    <n v="1.2"/>
    <n v="10"/>
    <x v="271"/>
    <n v="61523124"/>
    <x v="324"/>
  </r>
  <r>
    <x v="4"/>
    <x v="3"/>
    <x v="3"/>
    <x v="5"/>
    <x v="0"/>
    <x v="0"/>
    <n v="110179"/>
    <n v="205976"/>
    <x v="187"/>
    <n v="0.97"/>
    <n v="6.29"/>
    <n v="1.2"/>
    <n v="3"/>
    <x v="272"/>
    <n v="47376970"/>
    <x v="325"/>
  </r>
  <r>
    <x v="8"/>
    <x v="0"/>
    <x v="7"/>
    <x v="3"/>
    <x v="1"/>
    <x v="3"/>
    <n v="44943"/>
    <n v="241007"/>
    <x v="210"/>
    <n v="0.97"/>
    <n v="6.29"/>
    <n v="1.2"/>
    <n v="4"/>
    <x v="273"/>
    <n v="29078121"/>
    <x v="326"/>
  </r>
  <r>
    <x v="2"/>
    <x v="0"/>
    <x v="8"/>
    <x v="7"/>
    <x v="1"/>
    <x v="3"/>
    <n v="78240"/>
    <n v="355934"/>
    <x v="174"/>
    <n v="0.97"/>
    <n v="6.29"/>
    <n v="1.2"/>
    <n v="2"/>
    <x v="274"/>
    <n v="40684800"/>
    <x v="327"/>
  </r>
  <r>
    <x v="8"/>
    <x v="6"/>
    <x v="7"/>
    <x v="2"/>
    <x v="1"/>
    <x v="0"/>
    <n v="80760"/>
    <n v="380724"/>
    <x v="211"/>
    <n v="0.97"/>
    <n v="6.29"/>
    <n v="1.2"/>
    <n v="1"/>
    <x v="275"/>
    <n v="77610360"/>
    <x v="328"/>
  </r>
  <r>
    <x v="9"/>
    <x v="7"/>
    <x v="9"/>
    <x v="6"/>
    <x v="1"/>
    <x v="2"/>
    <n v="56042"/>
    <n v="55636"/>
    <x v="60"/>
    <n v="0.97"/>
    <n v="6.29"/>
    <n v="1.2"/>
    <n v="4"/>
    <x v="276"/>
    <n v="30935184"/>
    <x v="329"/>
  </r>
  <r>
    <x v="6"/>
    <x v="10"/>
    <x v="4"/>
    <x v="7"/>
    <x v="1"/>
    <x v="1"/>
    <n v="78894"/>
    <n v="311578"/>
    <x v="212"/>
    <n v="0.97"/>
    <n v="6.29"/>
    <n v="1.2"/>
    <n v="7"/>
    <x v="277"/>
    <n v="90728100"/>
    <x v="330"/>
  </r>
  <r>
    <x v="0"/>
    <x v="0"/>
    <x v="4"/>
    <x v="8"/>
    <x v="0"/>
    <x v="1"/>
    <n v="41869"/>
    <n v="389273"/>
    <x v="8"/>
    <n v="0.97"/>
    <n v="6.29"/>
    <n v="1.2"/>
    <n v="10"/>
    <x v="160"/>
    <n v="15114709"/>
    <x v="331"/>
  </r>
  <r>
    <x v="4"/>
    <x v="2"/>
    <x v="5"/>
    <x v="2"/>
    <x v="1"/>
    <x v="2"/>
    <n v="96078"/>
    <n v="446108"/>
    <x v="175"/>
    <n v="0.97"/>
    <n v="6.29"/>
    <n v="1.2"/>
    <n v="6"/>
    <x v="93"/>
    <n v="60529140"/>
    <x v="332"/>
  </r>
  <r>
    <x v="0"/>
    <x v="1"/>
    <x v="4"/>
    <x v="7"/>
    <x v="1"/>
    <x v="2"/>
    <n v="91759"/>
    <n v="333816"/>
    <x v="183"/>
    <n v="0.97"/>
    <n v="6.29"/>
    <n v="1.2"/>
    <n v="6"/>
    <x v="278"/>
    <n v="80380884"/>
    <x v="333"/>
  </r>
  <r>
    <x v="4"/>
    <x v="9"/>
    <x v="7"/>
    <x v="0"/>
    <x v="0"/>
    <x v="2"/>
    <n v="79306"/>
    <n v="317956"/>
    <x v="213"/>
    <n v="0.97"/>
    <n v="6.29"/>
    <n v="1.2"/>
    <n v="9"/>
    <x v="279"/>
    <n v="41635650"/>
    <x v="334"/>
  </r>
  <r>
    <x v="5"/>
    <x v="1"/>
    <x v="6"/>
    <x v="5"/>
    <x v="0"/>
    <x v="2"/>
    <n v="90371"/>
    <n v="277693"/>
    <x v="58"/>
    <n v="0.97"/>
    <n v="6.29"/>
    <n v="1.2"/>
    <n v="2"/>
    <x v="280"/>
    <n v="64886378"/>
    <x v="335"/>
  </r>
  <r>
    <x v="7"/>
    <x v="5"/>
    <x v="2"/>
    <x v="7"/>
    <x v="1"/>
    <x v="2"/>
    <n v="55918"/>
    <n v="50654"/>
    <x v="214"/>
    <n v="0.97"/>
    <n v="6.29"/>
    <n v="1.2"/>
    <n v="4"/>
    <x v="281"/>
    <n v="38024240"/>
    <x v="336"/>
  </r>
  <r>
    <x v="9"/>
    <x v="0"/>
    <x v="7"/>
    <x v="3"/>
    <x v="1"/>
    <x v="2"/>
    <n v="63379"/>
    <n v="104633"/>
    <x v="157"/>
    <n v="0.97"/>
    <n v="6.29"/>
    <n v="1.2"/>
    <n v="5"/>
    <x v="282"/>
    <n v="29534614"/>
    <x v="337"/>
  </r>
  <r>
    <x v="2"/>
    <x v="10"/>
    <x v="7"/>
    <x v="1"/>
    <x v="1"/>
    <x v="1"/>
    <n v="118232"/>
    <n v="67143"/>
    <x v="96"/>
    <n v="0.97"/>
    <n v="6.29"/>
    <n v="1.2"/>
    <n v="1"/>
    <x v="283"/>
    <n v="58761304"/>
    <x v="338"/>
  </r>
  <r>
    <x v="4"/>
    <x v="5"/>
    <x v="0"/>
    <x v="0"/>
    <x v="0"/>
    <x v="2"/>
    <n v="37962"/>
    <n v="105934"/>
    <x v="215"/>
    <n v="0.97"/>
    <n v="6.29"/>
    <n v="1.2"/>
    <n v="8"/>
    <x v="284"/>
    <n v="33900066"/>
    <x v="339"/>
  </r>
  <r>
    <x v="0"/>
    <x v="8"/>
    <x v="2"/>
    <x v="6"/>
    <x v="1"/>
    <x v="0"/>
    <n v="48851"/>
    <n v="379478"/>
    <x v="216"/>
    <n v="0.97"/>
    <n v="6.29"/>
    <n v="1.2"/>
    <n v="8"/>
    <x v="166"/>
    <n v="16951297"/>
    <x v="340"/>
  </r>
  <r>
    <x v="9"/>
    <x v="8"/>
    <x v="9"/>
    <x v="6"/>
    <x v="1"/>
    <x v="2"/>
    <n v="80747"/>
    <n v="153463"/>
    <x v="44"/>
    <n v="0.97"/>
    <n v="6.29"/>
    <n v="1.2"/>
    <n v="6"/>
    <x v="285"/>
    <n v="12758026"/>
    <x v="341"/>
  </r>
  <r>
    <x v="1"/>
    <x v="1"/>
    <x v="4"/>
    <x v="6"/>
    <x v="1"/>
    <x v="2"/>
    <n v="87349"/>
    <n v="175851"/>
    <x v="217"/>
    <n v="0.97"/>
    <n v="6.29"/>
    <n v="1.2"/>
    <n v="5"/>
    <x v="286"/>
    <n v="61231649"/>
    <x v="342"/>
  </r>
  <r>
    <x v="1"/>
    <x v="7"/>
    <x v="2"/>
    <x v="6"/>
    <x v="1"/>
    <x v="1"/>
    <n v="105832"/>
    <n v="79087"/>
    <x v="218"/>
    <n v="0.97"/>
    <n v="6.29"/>
    <n v="1.2"/>
    <n v="8"/>
    <x v="287"/>
    <n v="69531624"/>
    <x v="343"/>
  </r>
  <r>
    <x v="8"/>
    <x v="11"/>
    <x v="4"/>
    <x v="1"/>
    <x v="1"/>
    <x v="1"/>
    <n v="91356"/>
    <n v="192690"/>
    <x v="219"/>
    <n v="0.97"/>
    <n v="6.29"/>
    <n v="1.2"/>
    <n v="3"/>
    <x v="288"/>
    <n v="27954936"/>
    <x v="344"/>
  </r>
  <r>
    <x v="2"/>
    <x v="7"/>
    <x v="5"/>
    <x v="7"/>
    <x v="1"/>
    <x v="2"/>
    <n v="49745"/>
    <n v="320590"/>
    <x v="220"/>
    <n v="0.97"/>
    <n v="6.29"/>
    <n v="1.2"/>
    <n v="3"/>
    <x v="289"/>
    <n v="47655710"/>
    <x v="345"/>
  </r>
  <r>
    <x v="5"/>
    <x v="2"/>
    <x v="2"/>
    <x v="4"/>
    <x v="0"/>
    <x v="1"/>
    <n v="40730"/>
    <n v="414271"/>
    <x v="86"/>
    <n v="0.97"/>
    <n v="6.29"/>
    <n v="1.2"/>
    <n v="2"/>
    <x v="290"/>
    <n v="44640080"/>
    <x v="346"/>
  </r>
  <r>
    <x v="0"/>
    <x v="3"/>
    <x v="4"/>
    <x v="7"/>
    <x v="1"/>
    <x v="3"/>
    <n v="48921"/>
    <n v="361011"/>
    <x v="221"/>
    <n v="0.97"/>
    <n v="6.29"/>
    <n v="1.2"/>
    <n v="5"/>
    <x v="291"/>
    <n v="53128206"/>
    <x v="347"/>
  </r>
  <r>
    <x v="7"/>
    <x v="6"/>
    <x v="9"/>
    <x v="8"/>
    <x v="0"/>
    <x v="1"/>
    <n v="106138"/>
    <n v="494244"/>
    <x v="222"/>
    <n v="0.97"/>
    <n v="6.29"/>
    <n v="1.2"/>
    <n v="3"/>
    <x v="273"/>
    <n v="68671286"/>
    <x v="348"/>
  </r>
  <r>
    <x v="7"/>
    <x v="7"/>
    <x v="1"/>
    <x v="5"/>
    <x v="0"/>
    <x v="1"/>
    <n v="118111"/>
    <n v="372245"/>
    <x v="223"/>
    <n v="0.97"/>
    <n v="6.29"/>
    <n v="1.2"/>
    <n v="3"/>
    <x v="292"/>
    <n v="34252190"/>
    <x v="349"/>
  </r>
  <r>
    <x v="0"/>
    <x v="6"/>
    <x v="3"/>
    <x v="2"/>
    <x v="1"/>
    <x v="1"/>
    <n v="54023"/>
    <n v="208272"/>
    <x v="224"/>
    <n v="0.97"/>
    <n v="6.29"/>
    <n v="1.2"/>
    <n v="6"/>
    <x v="293"/>
    <n v="25660925"/>
    <x v="350"/>
  </r>
  <r>
    <x v="6"/>
    <x v="6"/>
    <x v="3"/>
    <x v="4"/>
    <x v="0"/>
    <x v="1"/>
    <n v="80349"/>
    <n v="276179"/>
    <x v="225"/>
    <n v="0.97"/>
    <n v="6.29"/>
    <n v="1.2"/>
    <n v="8"/>
    <x v="294"/>
    <n v="41861829"/>
    <x v="351"/>
  </r>
  <r>
    <x v="5"/>
    <x v="10"/>
    <x v="9"/>
    <x v="4"/>
    <x v="0"/>
    <x v="0"/>
    <n v="116533"/>
    <n v="400218"/>
    <x v="221"/>
    <n v="0.97"/>
    <n v="6.29"/>
    <n v="1.2"/>
    <n v="2"/>
    <x v="295"/>
    <n v="118747127"/>
    <x v="352"/>
  </r>
  <r>
    <x v="9"/>
    <x v="0"/>
    <x v="0"/>
    <x v="7"/>
    <x v="1"/>
    <x v="0"/>
    <n v="118286"/>
    <n v="242537"/>
    <x v="73"/>
    <n v="0.97"/>
    <n v="6.29"/>
    <n v="1.2"/>
    <n v="4"/>
    <x v="118"/>
    <n v="49798406"/>
    <x v="353"/>
  </r>
  <r>
    <x v="4"/>
    <x v="10"/>
    <x v="1"/>
    <x v="4"/>
    <x v="0"/>
    <x v="0"/>
    <n v="76979"/>
    <n v="267508"/>
    <x v="17"/>
    <n v="0.97"/>
    <n v="6.29"/>
    <n v="1.2"/>
    <n v="7"/>
    <x v="93"/>
    <n v="48496770"/>
    <x v="354"/>
  </r>
  <r>
    <x v="6"/>
    <x v="6"/>
    <x v="5"/>
    <x v="9"/>
    <x v="0"/>
    <x v="2"/>
    <n v="57837"/>
    <n v="168422"/>
    <x v="226"/>
    <n v="0.97"/>
    <n v="6.29"/>
    <n v="1.2"/>
    <n v="1"/>
    <x v="219"/>
    <n v="46905807"/>
    <x v="355"/>
  </r>
  <r>
    <x v="4"/>
    <x v="5"/>
    <x v="9"/>
    <x v="9"/>
    <x v="0"/>
    <x v="2"/>
    <n v="49997"/>
    <n v="400036"/>
    <x v="227"/>
    <n v="0.97"/>
    <n v="6.29"/>
    <n v="1.2"/>
    <n v="1"/>
    <x v="152"/>
    <n v="23248605"/>
    <x v="356"/>
  </r>
  <r>
    <x v="4"/>
    <x v="8"/>
    <x v="3"/>
    <x v="8"/>
    <x v="0"/>
    <x v="3"/>
    <n v="80039"/>
    <n v="269631"/>
    <x v="204"/>
    <n v="0.97"/>
    <n v="6.29"/>
    <n v="1.2"/>
    <n v="10"/>
    <x v="194"/>
    <n v="43381138"/>
    <x v="357"/>
  </r>
  <r>
    <x v="6"/>
    <x v="6"/>
    <x v="3"/>
    <x v="2"/>
    <x v="1"/>
    <x v="0"/>
    <n v="55923"/>
    <n v="432188"/>
    <x v="228"/>
    <n v="0.97"/>
    <n v="6.29"/>
    <n v="1.2"/>
    <n v="7"/>
    <x v="296"/>
    <n v="22089585"/>
    <x v="358"/>
  </r>
  <r>
    <x v="8"/>
    <x v="10"/>
    <x v="3"/>
    <x v="3"/>
    <x v="1"/>
    <x v="2"/>
    <n v="43876"/>
    <n v="89148"/>
    <x v="229"/>
    <n v="0.97"/>
    <n v="6.29"/>
    <n v="1.2"/>
    <n v="7"/>
    <x v="297"/>
    <n v="20490092"/>
    <x v="359"/>
  </r>
  <r>
    <x v="1"/>
    <x v="5"/>
    <x v="8"/>
    <x v="1"/>
    <x v="1"/>
    <x v="1"/>
    <n v="95973"/>
    <n v="395072"/>
    <x v="230"/>
    <n v="0.97"/>
    <n v="6.29"/>
    <n v="1.2"/>
    <n v="1"/>
    <x v="172"/>
    <n v="51441528"/>
    <x v="360"/>
  </r>
  <r>
    <x v="4"/>
    <x v="10"/>
    <x v="9"/>
    <x v="7"/>
    <x v="1"/>
    <x v="1"/>
    <n v="37887"/>
    <n v="201770"/>
    <x v="231"/>
    <n v="0.97"/>
    <n v="6.29"/>
    <n v="1.2"/>
    <n v="1"/>
    <x v="298"/>
    <n v="21633477"/>
    <x v="361"/>
  </r>
  <r>
    <x v="6"/>
    <x v="7"/>
    <x v="7"/>
    <x v="1"/>
    <x v="1"/>
    <x v="0"/>
    <n v="98723"/>
    <n v="485686"/>
    <x v="44"/>
    <n v="0.97"/>
    <n v="6.29"/>
    <n v="1.2"/>
    <n v="4"/>
    <x v="299"/>
    <n v="20336938"/>
    <x v="362"/>
  </r>
  <r>
    <x v="6"/>
    <x v="9"/>
    <x v="5"/>
    <x v="3"/>
    <x v="1"/>
    <x v="3"/>
    <n v="77422"/>
    <n v="363804"/>
    <x v="232"/>
    <n v="0.97"/>
    <n v="6.29"/>
    <n v="1.2"/>
    <n v="5"/>
    <x v="300"/>
    <n v="87873970"/>
    <x v="363"/>
  </r>
  <r>
    <x v="3"/>
    <x v="1"/>
    <x v="3"/>
    <x v="7"/>
    <x v="1"/>
    <x v="3"/>
    <n v="86413"/>
    <n v="497126"/>
    <x v="79"/>
    <n v="0.97"/>
    <n v="6.29"/>
    <n v="1.2"/>
    <n v="5"/>
    <x v="59"/>
    <n v="39145089"/>
    <x v="364"/>
  </r>
  <r>
    <x v="8"/>
    <x v="11"/>
    <x v="4"/>
    <x v="7"/>
    <x v="1"/>
    <x v="1"/>
    <n v="37841"/>
    <n v="347594"/>
    <x v="233"/>
    <n v="0.97"/>
    <n v="6.29"/>
    <n v="1.2"/>
    <n v="4"/>
    <x v="301"/>
    <n v="19563797"/>
    <x v="365"/>
  </r>
  <r>
    <x v="2"/>
    <x v="3"/>
    <x v="9"/>
    <x v="2"/>
    <x v="1"/>
    <x v="3"/>
    <n v="63756"/>
    <n v="237535"/>
    <x v="234"/>
    <n v="0.97"/>
    <n v="6.29"/>
    <n v="1.2"/>
    <n v="8"/>
    <x v="302"/>
    <n v="72490572"/>
    <x v="366"/>
  </r>
  <r>
    <x v="3"/>
    <x v="10"/>
    <x v="8"/>
    <x v="1"/>
    <x v="1"/>
    <x v="0"/>
    <n v="106576"/>
    <n v="345901"/>
    <x v="235"/>
    <n v="0.97"/>
    <n v="6.29"/>
    <n v="1.2"/>
    <n v="7"/>
    <x v="303"/>
    <n v="57444464"/>
    <x v="367"/>
  </r>
  <r>
    <x v="3"/>
    <x v="11"/>
    <x v="9"/>
    <x v="9"/>
    <x v="0"/>
    <x v="1"/>
    <n v="45304"/>
    <n v="128012"/>
    <x v="236"/>
    <n v="0.97"/>
    <n v="6.29"/>
    <n v="1.2"/>
    <n v="9"/>
    <x v="304"/>
    <n v="27771352"/>
    <x v="368"/>
  </r>
  <r>
    <x v="0"/>
    <x v="4"/>
    <x v="5"/>
    <x v="6"/>
    <x v="1"/>
    <x v="2"/>
    <n v="65341"/>
    <n v="418894"/>
    <x v="237"/>
    <n v="0.97"/>
    <n v="6.29"/>
    <n v="1.2"/>
    <n v="7"/>
    <x v="3"/>
    <n v="47698930"/>
    <x v="369"/>
  </r>
  <r>
    <x v="1"/>
    <x v="10"/>
    <x v="8"/>
    <x v="1"/>
    <x v="1"/>
    <x v="2"/>
    <n v="39758"/>
    <n v="439187"/>
    <x v="178"/>
    <n v="0.97"/>
    <n v="6.29"/>
    <n v="1.2"/>
    <n v="10"/>
    <x v="305"/>
    <n v="37133972"/>
    <x v="370"/>
  </r>
  <r>
    <x v="6"/>
    <x v="9"/>
    <x v="5"/>
    <x v="5"/>
    <x v="0"/>
    <x v="3"/>
    <n v="52010"/>
    <n v="474606"/>
    <x v="36"/>
    <n v="0.97"/>
    <n v="6.29"/>
    <n v="1.2"/>
    <n v="1"/>
    <x v="306"/>
    <n v="50969800"/>
    <x v="371"/>
  </r>
  <r>
    <x v="1"/>
    <x v="11"/>
    <x v="9"/>
    <x v="5"/>
    <x v="0"/>
    <x v="1"/>
    <n v="95758"/>
    <n v="106116"/>
    <x v="41"/>
    <n v="0.97"/>
    <n v="6.29"/>
    <n v="1.2"/>
    <n v="7"/>
    <x v="15"/>
    <n v="69424550"/>
    <x v="372"/>
  </r>
  <r>
    <x v="5"/>
    <x v="3"/>
    <x v="7"/>
    <x v="7"/>
    <x v="1"/>
    <x v="1"/>
    <n v="66658"/>
    <n v="194233"/>
    <x v="157"/>
    <n v="0.97"/>
    <n v="6.29"/>
    <n v="1.2"/>
    <n v="1"/>
    <x v="307"/>
    <n v="33262342"/>
    <x v="373"/>
  </r>
  <r>
    <x v="0"/>
    <x v="6"/>
    <x v="5"/>
    <x v="6"/>
    <x v="1"/>
    <x v="2"/>
    <n v="84002"/>
    <n v="82152"/>
    <x v="238"/>
    <n v="0.97"/>
    <n v="6.29"/>
    <n v="1.2"/>
    <n v="7"/>
    <x v="308"/>
    <n v="55609324"/>
    <x v="374"/>
  </r>
  <r>
    <x v="2"/>
    <x v="10"/>
    <x v="8"/>
    <x v="0"/>
    <x v="0"/>
    <x v="1"/>
    <n v="36375"/>
    <n v="156379"/>
    <x v="239"/>
    <n v="0.97"/>
    <n v="6.29"/>
    <n v="1.2"/>
    <n v="10"/>
    <x v="309"/>
    <n v="22116000"/>
    <x v="375"/>
  </r>
  <r>
    <x v="1"/>
    <x v="0"/>
    <x v="8"/>
    <x v="3"/>
    <x v="1"/>
    <x v="1"/>
    <n v="57092"/>
    <n v="276905"/>
    <x v="16"/>
    <n v="0.97"/>
    <n v="6.29"/>
    <n v="1.2"/>
    <n v="8"/>
    <x v="310"/>
    <n v="41049148"/>
    <x v="376"/>
  </r>
  <r>
    <x v="7"/>
    <x v="1"/>
    <x v="5"/>
    <x v="8"/>
    <x v="0"/>
    <x v="1"/>
    <n v="35490"/>
    <n v="70836"/>
    <x v="101"/>
    <n v="0.97"/>
    <n v="6.29"/>
    <n v="1.2"/>
    <n v="9"/>
    <x v="217"/>
    <n v="15970500"/>
    <x v="377"/>
  </r>
  <r>
    <x v="4"/>
    <x v="9"/>
    <x v="6"/>
    <x v="6"/>
    <x v="1"/>
    <x v="3"/>
    <n v="38729"/>
    <n v="271439"/>
    <x v="182"/>
    <n v="0.97"/>
    <n v="6.29"/>
    <n v="1.2"/>
    <n v="3"/>
    <x v="311"/>
    <n v="9953353"/>
    <x v="378"/>
  </r>
  <r>
    <x v="5"/>
    <x v="2"/>
    <x v="9"/>
    <x v="8"/>
    <x v="0"/>
    <x v="1"/>
    <n v="40974"/>
    <n v="236720"/>
    <x v="217"/>
    <n v="0.97"/>
    <n v="6.29"/>
    <n v="1.2"/>
    <n v="4"/>
    <x v="312"/>
    <n v="28640826"/>
    <x v="379"/>
  </r>
  <r>
    <x v="8"/>
    <x v="2"/>
    <x v="6"/>
    <x v="1"/>
    <x v="1"/>
    <x v="0"/>
    <n v="118860"/>
    <n v="207403"/>
    <x v="85"/>
    <n v="0.97"/>
    <n v="6.29"/>
    <n v="1.2"/>
    <n v="4"/>
    <x v="313"/>
    <n v="128131080"/>
    <x v="380"/>
  </r>
  <r>
    <x v="2"/>
    <x v="11"/>
    <x v="0"/>
    <x v="1"/>
    <x v="1"/>
    <x v="3"/>
    <n v="56398"/>
    <n v="191835"/>
    <x v="79"/>
    <n v="0.97"/>
    <n v="6.29"/>
    <n v="1.2"/>
    <n v="9"/>
    <x v="314"/>
    <n v="13873908"/>
    <x v="381"/>
  </r>
  <r>
    <x v="5"/>
    <x v="9"/>
    <x v="9"/>
    <x v="8"/>
    <x v="0"/>
    <x v="1"/>
    <n v="69650"/>
    <n v="381588"/>
    <x v="230"/>
    <n v="0.97"/>
    <n v="6.29"/>
    <n v="1.2"/>
    <n v="7"/>
    <x v="245"/>
    <n v="13721050"/>
    <x v="382"/>
  </r>
  <r>
    <x v="4"/>
    <x v="5"/>
    <x v="5"/>
    <x v="3"/>
    <x v="1"/>
    <x v="1"/>
    <n v="56292"/>
    <n v="143109"/>
    <x v="226"/>
    <n v="0.97"/>
    <n v="6.29"/>
    <n v="1.2"/>
    <n v="3"/>
    <x v="315"/>
    <n v="52407852"/>
    <x v="383"/>
  </r>
  <r>
    <x v="0"/>
    <x v="3"/>
    <x v="1"/>
    <x v="6"/>
    <x v="1"/>
    <x v="0"/>
    <n v="38159"/>
    <n v="200259"/>
    <x v="116"/>
    <n v="0.97"/>
    <n v="6.29"/>
    <n v="1.2"/>
    <n v="10"/>
    <x v="316"/>
    <n v="38655067"/>
    <x v="384"/>
  </r>
  <r>
    <x v="4"/>
    <x v="1"/>
    <x v="5"/>
    <x v="0"/>
    <x v="0"/>
    <x v="3"/>
    <n v="97766"/>
    <n v="193029"/>
    <x v="51"/>
    <n v="0.97"/>
    <n v="6.29"/>
    <n v="1.2"/>
    <n v="5"/>
    <x v="307"/>
    <n v="48785234"/>
    <x v="385"/>
  </r>
  <r>
    <x v="3"/>
    <x v="6"/>
    <x v="6"/>
    <x v="7"/>
    <x v="1"/>
    <x v="2"/>
    <n v="52065"/>
    <n v="447595"/>
    <x v="226"/>
    <n v="0.97"/>
    <n v="6.29"/>
    <n v="1.2"/>
    <n v="7"/>
    <x v="317"/>
    <n v="50867505"/>
    <x v="386"/>
  </r>
  <r>
    <x v="4"/>
    <x v="10"/>
    <x v="7"/>
    <x v="2"/>
    <x v="1"/>
    <x v="2"/>
    <n v="56638"/>
    <n v="471175"/>
    <x v="71"/>
    <n v="0.97"/>
    <n v="6.29"/>
    <n v="1.2"/>
    <n v="8"/>
    <x v="177"/>
    <n v="44744020"/>
    <x v="387"/>
  </r>
  <r>
    <x v="3"/>
    <x v="10"/>
    <x v="5"/>
    <x v="1"/>
    <x v="1"/>
    <x v="3"/>
    <n v="36073"/>
    <n v="132018"/>
    <x v="89"/>
    <n v="0.97"/>
    <n v="6.29"/>
    <n v="1.2"/>
    <n v="1"/>
    <x v="95"/>
    <n v="31744240"/>
    <x v="388"/>
  </r>
  <r>
    <x v="0"/>
    <x v="2"/>
    <x v="5"/>
    <x v="5"/>
    <x v="0"/>
    <x v="1"/>
    <n v="81511"/>
    <n v="173076"/>
    <x v="240"/>
    <n v="0.97"/>
    <n v="6.29"/>
    <n v="1.2"/>
    <n v="2"/>
    <x v="318"/>
    <n v="28202806"/>
    <x v="389"/>
  </r>
  <r>
    <x v="9"/>
    <x v="10"/>
    <x v="7"/>
    <x v="3"/>
    <x v="1"/>
    <x v="1"/>
    <n v="119307"/>
    <n v="208177"/>
    <x v="122"/>
    <n v="0.97"/>
    <n v="6.29"/>
    <n v="1.2"/>
    <n v="7"/>
    <x v="319"/>
    <n v="42115371"/>
    <x v="390"/>
  </r>
  <r>
    <x v="3"/>
    <x v="1"/>
    <x v="5"/>
    <x v="2"/>
    <x v="1"/>
    <x v="2"/>
    <n v="64320"/>
    <n v="444093"/>
    <x v="194"/>
    <n v="0.97"/>
    <n v="6.29"/>
    <n v="1.2"/>
    <n v="2"/>
    <x v="320"/>
    <n v="39878400"/>
    <x v="391"/>
  </r>
  <r>
    <x v="8"/>
    <x v="0"/>
    <x v="3"/>
    <x v="0"/>
    <x v="0"/>
    <x v="2"/>
    <n v="104876"/>
    <n v="229425"/>
    <x v="241"/>
    <n v="0.97"/>
    <n v="6.29"/>
    <n v="1.2"/>
    <n v="7"/>
    <x v="249"/>
    <n v="70791300"/>
    <x v="392"/>
  </r>
  <r>
    <x v="4"/>
    <x v="4"/>
    <x v="1"/>
    <x v="4"/>
    <x v="0"/>
    <x v="2"/>
    <n v="69924"/>
    <n v="395932"/>
    <x v="242"/>
    <n v="0.97"/>
    <n v="6.29"/>
    <n v="1.2"/>
    <n v="9"/>
    <x v="83"/>
    <n v="46639308"/>
    <x v="393"/>
  </r>
  <r>
    <x v="4"/>
    <x v="8"/>
    <x v="4"/>
    <x v="7"/>
    <x v="1"/>
    <x v="0"/>
    <n v="116720"/>
    <n v="409014"/>
    <x v="13"/>
    <n v="0.97"/>
    <n v="6.29"/>
    <n v="1.2"/>
    <n v="2"/>
    <x v="321"/>
    <n v="101312960"/>
    <x v="394"/>
  </r>
  <r>
    <x v="8"/>
    <x v="7"/>
    <x v="1"/>
    <x v="1"/>
    <x v="1"/>
    <x v="2"/>
    <n v="75734"/>
    <n v="265657"/>
    <x v="211"/>
    <n v="0.97"/>
    <n v="6.29"/>
    <n v="1.2"/>
    <n v="7"/>
    <x v="268"/>
    <n v="63313624"/>
    <x v="395"/>
  </r>
  <r>
    <x v="7"/>
    <x v="11"/>
    <x v="5"/>
    <x v="7"/>
    <x v="1"/>
    <x v="0"/>
    <n v="103116"/>
    <n v="395452"/>
    <x v="14"/>
    <n v="0.97"/>
    <n v="6.29"/>
    <n v="1.2"/>
    <n v="4"/>
    <x v="322"/>
    <n v="23819796"/>
    <x v="396"/>
  </r>
  <r>
    <x v="6"/>
    <x v="0"/>
    <x v="3"/>
    <x v="2"/>
    <x v="1"/>
    <x v="3"/>
    <n v="75025"/>
    <n v="494783"/>
    <x v="243"/>
    <n v="0.97"/>
    <n v="6.29"/>
    <n v="1.2"/>
    <n v="2"/>
    <x v="323"/>
    <n v="42539175"/>
    <x v="397"/>
  </r>
  <r>
    <x v="9"/>
    <x v="6"/>
    <x v="9"/>
    <x v="7"/>
    <x v="1"/>
    <x v="1"/>
    <n v="37159"/>
    <n v="370057"/>
    <x v="160"/>
    <n v="0.97"/>
    <n v="6.29"/>
    <n v="1.2"/>
    <n v="7"/>
    <x v="324"/>
    <n v="37753544"/>
    <x v="398"/>
  </r>
  <r>
    <x v="2"/>
    <x v="2"/>
    <x v="5"/>
    <x v="4"/>
    <x v="0"/>
    <x v="2"/>
    <n v="83940"/>
    <n v="52637"/>
    <x v="244"/>
    <n v="0.97"/>
    <n v="6.29"/>
    <n v="1.2"/>
    <n v="5"/>
    <x v="167"/>
    <n v="32400840"/>
    <x v="399"/>
  </r>
  <r>
    <x v="3"/>
    <x v="11"/>
    <x v="6"/>
    <x v="2"/>
    <x v="1"/>
    <x v="1"/>
    <n v="114436"/>
    <n v="354169"/>
    <x v="206"/>
    <n v="0.97"/>
    <n v="6.29"/>
    <n v="1.2"/>
    <n v="1"/>
    <x v="3"/>
    <n v="83538280"/>
    <x v="400"/>
  </r>
  <r>
    <x v="8"/>
    <x v="10"/>
    <x v="3"/>
    <x v="1"/>
    <x v="1"/>
    <x v="1"/>
    <n v="111976"/>
    <n v="287989"/>
    <x v="6"/>
    <n v="0.97"/>
    <n v="6.29"/>
    <n v="1.2"/>
    <n v="5"/>
    <x v="276"/>
    <n v="61810752"/>
    <x v="401"/>
  </r>
  <r>
    <x v="0"/>
    <x v="9"/>
    <x v="7"/>
    <x v="6"/>
    <x v="1"/>
    <x v="2"/>
    <n v="49678"/>
    <n v="282259"/>
    <x v="90"/>
    <n v="0.97"/>
    <n v="6.29"/>
    <n v="1.2"/>
    <n v="3"/>
    <x v="325"/>
    <n v="43468250"/>
    <x v="402"/>
  </r>
  <r>
    <x v="3"/>
    <x v="6"/>
    <x v="3"/>
    <x v="5"/>
    <x v="0"/>
    <x v="2"/>
    <n v="96075"/>
    <n v="411652"/>
    <x v="86"/>
    <n v="0.97"/>
    <n v="6.29"/>
    <n v="1.2"/>
    <n v="7"/>
    <x v="326"/>
    <n v="104049225"/>
    <x v="403"/>
  </r>
  <r>
    <x v="6"/>
    <x v="11"/>
    <x v="7"/>
    <x v="2"/>
    <x v="1"/>
    <x v="3"/>
    <n v="82204"/>
    <n v="132464"/>
    <x v="132"/>
    <n v="0.97"/>
    <n v="6.29"/>
    <n v="1.2"/>
    <n v="6"/>
    <x v="327"/>
    <n v="80395512"/>
    <x v="404"/>
  </r>
  <r>
    <x v="0"/>
    <x v="3"/>
    <x v="0"/>
    <x v="9"/>
    <x v="0"/>
    <x v="0"/>
    <n v="47021"/>
    <n v="340886"/>
    <x v="73"/>
    <n v="0.97"/>
    <n v="6.29"/>
    <n v="1.2"/>
    <n v="8"/>
    <x v="328"/>
    <n v="11661208"/>
    <x v="405"/>
  </r>
  <r>
    <x v="5"/>
    <x v="10"/>
    <x v="4"/>
    <x v="4"/>
    <x v="0"/>
    <x v="0"/>
    <n v="41772"/>
    <n v="61831"/>
    <x v="245"/>
    <n v="0.97"/>
    <n v="6.29"/>
    <n v="1.2"/>
    <n v="5"/>
    <x v="250"/>
    <n v="14661972"/>
    <x v="406"/>
  </r>
  <r>
    <x v="4"/>
    <x v="11"/>
    <x v="2"/>
    <x v="2"/>
    <x v="1"/>
    <x v="1"/>
    <n v="102163"/>
    <n v="163768"/>
    <x v="227"/>
    <n v="0.97"/>
    <n v="6.29"/>
    <n v="1.2"/>
    <n v="2"/>
    <x v="1"/>
    <n v="56802628"/>
    <x v="407"/>
  </r>
  <r>
    <x v="5"/>
    <x v="9"/>
    <x v="3"/>
    <x v="2"/>
    <x v="1"/>
    <x v="2"/>
    <n v="108755"/>
    <n v="296983"/>
    <x v="246"/>
    <n v="0.97"/>
    <n v="6.29"/>
    <n v="1.2"/>
    <n v="9"/>
    <x v="55"/>
    <n v="62860390"/>
    <x v="408"/>
  </r>
  <r>
    <x v="3"/>
    <x v="3"/>
    <x v="8"/>
    <x v="9"/>
    <x v="0"/>
    <x v="3"/>
    <n v="58464"/>
    <n v="397236"/>
    <x v="223"/>
    <n v="0.97"/>
    <n v="6.29"/>
    <n v="1.2"/>
    <n v="8"/>
    <x v="329"/>
    <n v="8594208"/>
    <x v="409"/>
  </r>
  <r>
    <x v="6"/>
    <x v="10"/>
    <x v="6"/>
    <x v="1"/>
    <x v="1"/>
    <x v="3"/>
    <n v="86137"/>
    <n v="403023"/>
    <x v="247"/>
    <n v="0.97"/>
    <n v="6.29"/>
    <n v="1.2"/>
    <n v="6"/>
    <x v="330"/>
    <n v="76317382"/>
    <x v="410"/>
  </r>
  <r>
    <x v="9"/>
    <x v="4"/>
    <x v="5"/>
    <x v="2"/>
    <x v="1"/>
    <x v="3"/>
    <n v="65232"/>
    <n v="400514"/>
    <x v="72"/>
    <n v="0.97"/>
    <n v="6.29"/>
    <n v="1.2"/>
    <n v="10"/>
    <x v="331"/>
    <n v="20809008"/>
    <x v="411"/>
  </r>
  <r>
    <x v="3"/>
    <x v="0"/>
    <x v="6"/>
    <x v="5"/>
    <x v="0"/>
    <x v="3"/>
    <n v="96497"/>
    <n v="438681"/>
    <x v="155"/>
    <n v="0.97"/>
    <n v="6.29"/>
    <n v="1.2"/>
    <n v="7"/>
    <x v="256"/>
    <n v="35607393"/>
    <x v="412"/>
  </r>
  <r>
    <x v="8"/>
    <x v="5"/>
    <x v="1"/>
    <x v="7"/>
    <x v="1"/>
    <x v="3"/>
    <n v="109024"/>
    <n v="489978"/>
    <x v="248"/>
    <n v="0.97"/>
    <n v="6.29"/>
    <n v="1.2"/>
    <n v="9"/>
    <x v="332"/>
    <n v="53748832"/>
    <x v="413"/>
  </r>
  <r>
    <x v="1"/>
    <x v="2"/>
    <x v="2"/>
    <x v="1"/>
    <x v="1"/>
    <x v="0"/>
    <n v="86448"/>
    <n v="154824"/>
    <x v="79"/>
    <n v="0.97"/>
    <n v="6.29"/>
    <n v="1.2"/>
    <n v="7"/>
    <x v="333"/>
    <n v="50226288"/>
    <x v="414"/>
  </r>
  <r>
    <x v="3"/>
    <x v="7"/>
    <x v="1"/>
    <x v="5"/>
    <x v="0"/>
    <x v="0"/>
    <n v="119517"/>
    <n v="138741"/>
    <x v="158"/>
    <n v="0.97"/>
    <n v="6.29"/>
    <n v="1.2"/>
    <n v="3"/>
    <x v="301"/>
    <n v="61790289"/>
    <x v="415"/>
  </r>
  <r>
    <x v="4"/>
    <x v="1"/>
    <x v="0"/>
    <x v="1"/>
    <x v="1"/>
    <x v="0"/>
    <n v="35901"/>
    <n v="68830"/>
    <x v="44"/>
    <n v="0.97"/>
    <n v="6.29"/>
    <n v="1.2"/>
    <n v="6"/>
    <x v="334"/>
    <n v="7431507"/>
    <x v="416"/>
  </r>
  <r>
    <x v="4"/>
    <x v="2"/>
    <x v="2"/>
    <x v="5"/>
    <x v="0"/>
    <x v="2"/>
    <n v="118597"/>
    <n v="367188"/>
    <x v="249"/>
    <n v="0.97"/>
    <n v="6.29"/>
    <n v="1.2"/>
    <n v="7"/>
    <x v="224"/>
    <n v="33325757"/>
    <x v="417"/>
  </r>
  <r>
    <x v="3"/>
    <x v="7"/>
    <x v="2"/>
    <x v="4"/>
    <x v="0"/>
    <x v="1"/>
    <n v="37881"/>
    <n v="386092"/>
    <x v="231"/>
    <n v="0.97"/>
    <n v="6.29"/>
    <n v="1.2"/>
    <n v="2"/>
    <x v="335"/>
    <n v="29357775"/>
    <x v="418"/>
  </r>
  <r>
    <x v="0"/>
    <x v="6"/>
    <x v="1"/>
    <x v="5"/>
    <x v="0"/>
    <x v="3"/>
    <n v="64863"/>
    <n v="119202"/>
    <x v="250"/>
    <n v="0.97"/>
    <n v="6.29"/>
    <n v="1.2"/>
    <n v="3"/>
    <x v="336"/>
    <n v="46960812"/>
    <x v="419"/>
  </r>
  <r>
    <x v="1"/>
    <x v="7"/>
    <x v="7"/>
    <x v="8"/>
    <x v="0"/>
    <x v="2"/>
    <n v="40622"/>
    <n v="349189"/>
    <x v="195"/>
    <n v="0.97"/>
    <n v="6.29"/>
    <n v="1.2"/>
    <n v="4"/>
    <x v="337"/>
    <n v="26973008"/>
    <x v="420"/>
  </r>
  <r>
    <x v="8"/>
    <x v="10"/>
    <x v="1"/>
    <x v="5"/>
    <x v="0"/>
    <x v="3"/>
    <n v="36378"/>
    <n v="267394"/>
    <x v="70"/>
    <n v="0.97"/>
    <n v="6.29"/>
    <n v="1.2"/>
    <n v="10"/>
    <x v="338"/>
    <n v="34668234"/>
    <x v="421"/>
  </r>
  <r>
    <x v="3"/>
    <x v="4"/>
    <x v="6"/>
    <x v="6"/>
    <x v="1"/>
    <x v="0"/>
    <n v="118168"/>
    <n v="252123"/>
    <x v="230"/>
    <n v="0.97"/>
    <n v="6.29"/>
    <n v="1.2"/>
    <n v="6"/>
    <x v="168"/>
    <n v="22097416"/>
    <x v="422"/>
  </r>
  <r>
    <x v="0"/>
    <x v="5"/>
    <x v="7"/>
    <x v="6"/>
    <x v="1"/>
    <x v="2"/>
    <n v="106186"/>
    <n v="419653"/>
    <x v="43"/>
    <n v="0.97"/>
    <n v="6.29"/>
    <n v="1.2"/>
    <n v="1"/>
    <x v="339"/>
    <n v="32386730"/>
    <x v="423"/>
  </r>
  <r>
    <x v="4"/>
    <x v="0"/>
    <x v="6"/>
    <x v="3"/>
    <x v="1"/>
    <x v="0"/>
    <n v="80201"/>
    <n v="207699"/>
    <x v="180"/>
    <n v="0.97"/>
    <n v="6.29"/>
    <n v="1.2"/>
    <n v="9"/>
    <x v="279"/>
    <n v="42105525"/>
    <x v="424"/>
  </r>
  <r>
    <x v="4"/>
    <x v="0"/>
    <x v="0"/>
    <x v="8"/>
    <x v="0"/>
    <x v="3"/>
    <n v="94251"/>
    <n v="327342"/>
    <x v="151"/>
    <n v="0.97"/>
    <n v="6.29"/>
    <n v="1.2"/>
    <n v="5"/>
    <x v="97"/>
    <n v="42507201"/>
    <x v="425"/>
  </r>
  <r>
    <x v="6"/>
    <x v="9"/>
    <x v="5"/>
    <x v="8"/>
    <x v="0"/>
    <x v="3"/>
    <n v="107572"/>
    <n v="381665"/>
    <x v="39"/>
    <n v="0.97"/>
    <n v="6.29"/>
    <n v="1.2"/>
    <n v="7"/>
    <x v="340"/>
    <n v="87456036"/>
    <x v="426"/>
  </r>
  <r>
    <x v="3"/>
    <x v="1"/>
    <x v="9"/>
    <x v="7"/>
    <x v="1"/>
    <x v="1"/>
    <n v="74255"/>
    <n v="156471"/>
    <x v="251"/>
    <n v="0.97"/>
    <n v="6.29"/>
    <n v="1.2"/>
    <n v="9"/>
    <x v="276"/>
    <n v="40988760"/>
    <x v="427"/>
  </r>
  <r>
    <x v="1"/>
    <x v="11"/>
    <x v="7"/>
    <x v="8"/>
    <x v="0"/>
    <x v="3"/>
    <n v="98212"/>
    <n v="341619"/>
    <x v="16"/>
    <n v="0.97"/>
    <n v="6.29"/>
    <n v="1.2"/>
    <n v="9"/>
    <x v="131"/>
    <n v="89471132"/>
    <x v="428"/>
  </r>
  <r>
    <x v="7"/>
    <x v="4"/>
    <x v="0"/>
    <x v="7"/>
    <x v="1"/>
    <x v="0"/>
    <n v="85210"/>
    <n v="286824"/>
    <x v="206"/>
    <n v="0.97"/>
    <n v="6.29"/>
    <n v="1.2"/>
    <n v="1"/>
    <x v="341"/>
    <n v="73706650"/>
    <x v="429"/>
  </r>
  <r>
    <x v="1"/>
    <x v="11"/>
    <x v="8"/>
    <x v="3"/>
    <x v="1"/>
    <x v="3"/>
    <n v="57499"/>
    <n v="69403"/>
    <x v="5"/>
    <n v="0.97"/>
    <n v="6.29"/>
    <n v="1.2"/>
    <n v="1"/>
    <x v="342"/>
    <n v="43986735"/>
    <x v="430"/>
  </r>
  <r>
    <x v="4"/>
    <x v="5"/>
    <x v="0"/>
    <x v="3"/>
    <x v="1"/>
    <x v="1"/>
    <n v="86628"/>
    <n v="53681"/>
    <x v="102"/>
    <n v="0.97"/>
    <n v="6.29"/>
    <n v="1.2"/>
    <n v="3"/>
    <x v="343"/>
    <n v="55268664"/>
    <x v="431"/>
  </r>
  <r>
    <x v="4"/>
    <x v="7"/>
    <x v="1"/>
    <x v="4"/>
    <x v="0"/>
    <x v="1"/>
    <n v="96360"/>
    <n v="403699"/>
    <x v="252"/>
    <n v="0.97"/>
    <n v="6.29"/>
    <n v="1.2"/>
    <n v="6"/>
    <x v="239"/>
    <n v="30160680"/>
    <x v="432"/>
  </r>
  <r>
    <x v="5"/>
    <x v="0"/>
    <x v="1"/>
    <x v="6"/>
    <x v="1"/>
    <x v="0"/>
    <n v="39603"/>
    <n v="431028"/>
    <x v="253"/>
    <n v="0.97"/>
    <n v="6.29"/>
    <n v="1.2"/>
    <n v="2"/>
    <x v="344"/>
    <n v="30811134"/>
    <x v="433"/>
  </r>
  <r>
    <x v="4"/>
    <x v="5"/>
    <x v="9"/>
    <x v="5"/>
    <x v="0"/>
    <x v="2"/>
    <n v="47632"/>
    <n v="405266"/>
    <x v="183"/>
    <n v="0.97"/>
    <n v="6.29"/>
    <n v="1.2"/>
    <n v="10"/>
    <x v="99"/>
    <n v="45107504"/>
    <x v="434"/>
  </r>
  <r>
    <x v="8"/>
    <x v="7"/>
    <x v="0"/>
    <x v="5"/>
    <x v="0"/>
    <x v="3"/>
    <n v="65607"/>
    <n v="165260"/>
    <x v="239"/>
    <n v="0.97"/>
    <n v="6.29"/>
    <n v="1.2"/>
    <n v="1"/>
    <x v="16"/>
    <n v="38576916"/>
    <x v="435"/>
  </r>
  <r>
    <x v="2"/>
    <x v="0"/>
    <x v="4"/>
    <x v="9"/>
    <x v="0"/>
    <x v="1"/>
    <n v="100756"/>
    <n v="223364"/>
    <x v="35"/>
    <n v="0.97"/>
    <n v="6.29"/>
    <n v="1.2"/>
    <n v="1"/>
    <x v="301"/>
    <n v="52090852"/>
    <x v="436"/>
  </r>
  <r>
    <x v="3"/>
    <x v="7"/>
    <x v="5"/>
    <x v="9"/>
    <x v="0"/>
    <x v="3"/>
    <n v="81994"/>
    <n v="155386"/>
    <x v="124"/>
    <n v="0.97"/>
    <n v="6.29"/>
    <n v="1.2"/>
    <n v="5"/>
    <x v="345"/>
    <n v="15742848"/>
    <x v="437"/>
  </r>
  <r>
    <x v="1"/>
    <x v="1"/>
    <x v="1"/>
    <x v="0"/>
    <x v="0"/>
    <x v="3"/>
    <n v="98382"/>
    <n v="283378"/>
    <x v="25"/>
    <n v="0.97"/>
    <n v="6.29"/>
    <n v="1.2"/>
    <n v="4"/>
    <x v="346"/>
    <n v="39352800"/>
    <x v="438"/>
  </r>
  <r>
    <x v="2"/>
    <x v="4"/>
    <x v="9"/>
    <x v="1"/>
    <x v="1"/>
    <x v="2"/>
    <n v="105354"/>
    <n v="448845"/>
    <x v="252"/>
    <n v="0.97"/>
    <n v="6.29"/>
    <n v="1.2"/>
    <n v="1"/>
    <x v="347"/>
    <n v="49411026"/>
    <x v="439"/>
  </r>
  <r>
    <x v="0"/>
    <x v="2"/>
    <x v="5"/>
    <x v="4"/>
    <x v="0"/>
    <x v="1"/>
    <n v="91344"/>
    <n v="143246"/>
    <x v="254"/>
    <n v="0.97"/>
    <n v="6.29"/>
    <n v="1.2"/>
    <n v="4"/>
    <x v="348"/>
    <n v="80748096"/>
    <x v="440"/>
  </r>
  <r>
    <x v="7"/>
    <x v="3"/>
    <x v="0"/>
    <x v="0"/>
    <x v="0"/>
    <x v="3"/>
    <n v="88775"/>
    <n v="145864"/>
    <x v="171"/>
    <n v="0.97"/>
    <n v="6.29"/>
    <n v="1.2"/>
    <n v="3"/>
    <x v="349"/>
    <n v="80785250"/>
    <x v="441"/>
  </r>
  <r>
    <x v="8"/>
    <x v="6"/>
    <x v="0"/>
    <x v="0"/>
    <x v="0"/>
    <x v="1"/>
    <n v="42349"/>
    <n v="258886"/>
    <x v="255"/>
    <n v="0.97"/>
    <n v="6.29"/>
    <n v="1.2"/>
    <n v="2"/>
    <x v="350"/>
    <n v="15753828"/>
    <x v="442"/>
  </r>
  <r>
    <x v="1"/>
    <x v="5"/>
    <x v="2"/>
    <x v="2"/>
    <x v="1"/>
    <x v="0"/>
    <n v="106154"/>
    <n v="320561"/>
    <x v="73"/>
    <n v="0.97"/>
    <n v="6.29"/>
    <n v="1.2"/>
    <n v="9"/>
    <x v="339"/>
    <n v="32376970"/>
    <x v="443"/>
  </r>
  <r>
    <x v="2"/>
    <x v="5"/>
    <x v="9"/>
    <x v="2"/>
    <x v="1"/>
    <x v="0"/>
    <n v="62464"/>
    <n v="431032"/>
    <x v="122"/>
    <n v="0.97"/>
    <n v="6.29"/>
    <n v="1.2"/>
    <n v="1"/>
    <x v="351"/>
    <n v="39727104"/>
    <x v="444"/>
  </r>
  <r>
    <x v="7"/>
    <x v="3"/>
    <x v="1"/>
    <x v="0"/>
    <x v="0"/>
    <x v="3"/>
    <n v="77624"/>
    <n v="215837"/>
    <x v="222"/>
    <n v="0.97"/>
    <n v="6.29"/>
    <n v="1.2"/>
    <n v="7"/>
    <x v="352"/>
    <n v="33611192"/>
    <x v="445"/>
  </r>
  <r>
    <x v="5"/>
    <x v="2"/>
    <x v="4"/>
    <x v="8"/>
    <x v="0"/>
    <x v="1"/>
    <n v="72344"/>
    <n v="386643"/>
    <x v="206"/>
    <n v="0.97"/>
    <n v="6.29"/>
    <n v="1.2"/>
    <n v="4"/>
    <x v="315"/>
    <n v="67352264"/>
    <x v="446"/>
  </r>
  <r>
    <x v="8"/>
    <x v="8"/>
    <x v="0"/>
    <x v="1"/>
    <x v="1"/>
    <x v="3"/>
    <n v="118791"/>
    <n v="443052"/>
    <x v="153"/>
    <n v="0.97"/>
    <n v="6.29"/>
    <n v="1.2"/>
    <n v="5"/>
    <x v="21"/>
    <n v="89212041"/>
    <x v="447"/>
  </r>
  <r>
    <x v="8"/>
    <x v="10"/>
    <x v="4"/>
    <x v="4"/>
    <x v="0"/>
    <x v="1"/>
    <n v="59299"/>
    <n v="295160"/>
    <x v="256"/>
    <n v="0.97"/>
    <n v="6.29"/>
    <n v="1.2"/>
    <n v="10"/>
    <x v="101"/>
    <n v="53606296"/>
    <x v="448"/>
  </r>
  <r>
    <x v="5"/>
    <x v="1"/>
    <x v="0"/>
    <x v="0"/>
    <x v="0"/>
    <x v="1"/>
    <n v="82975"/>
    <n v="237646"/>
    <x v="257"/>
    <n v="0.97"/>
    <n v="6.29"/>
    <n v="1.2"/>
    <n v="5"/>
    <x v="32"/>
    <n v="54099700"/>
    <x v="449"/>
  </r>
  <r>
    <x v="3"/>
    <x v="1"/>
    <x v="1"/>
    <x v="5"/>
    <x v="0"/>
    <x v="2"/>
    <n v="36462"/>
    <n v="309278"/>
    <x v="225"/>
    <n v="0.97"/>
    <n v="6.29"/>
    <n v="1.2"/>
    <n v="1"/>
    <x v="353"/>
    <n v="20892726"/>
    <x v="450"/>
  </r>
  <r>
    <x v="5"/>
    <x v="3"/>
    <x v="5"/>
    <x v="1"/>
    <x v="1"/>
    <x v="2"/>
    <n v="116441"/>
    <n v="339819"/>
    <x v="189"/>
    <n v="0.97"/>
    <n v="6.29"/>
    <n v="1.2"/>
    <n v="6"/>
    <x v="254"/>
    <n v="119584907"/>
    <x v="451"/>
  </r>
  <r>
    <x v="8"/>
    <x v="11"/>
    <x v="3"/>
    <x v="2"/>
    <x v="1"/>
    <x v="2"/>
    <n v="116788"/>
    <n v="306681"/>
    <x v="258"/>
    <n v="0.97"/>
    <n v="6.29"/>
    <n v="1.2"/>
    <n v="9"/>
    <x v="354"/>
    <n v="67153100"/>
    <x v="452"/>
  </r>
  <r>
    <x v="8"/>
    <x v="7"/>
    <x v="5"/>
    <x v="5"/>
    <x v="0"/>
    <x v="3"/>
    <n v="75581"/>
    <n v="221635"/>
    <x v="195"/>
    <n v="0.97"/>
    <n v="6.29"/>
    <n v="1.2"/>
    <n v="2"/>
    <x v="130"/>
    <n v="64092688"/>
    <x v="453"/>
  </r>
  <r>
    <x v="2"/>
    <x v="10"/>
    <x v="0"/>
    <x v="2"/>
    <x v="1"/>
    <x v="2"/>
    <n v="106289"/>
    <n v="61332"/>
    <x v="259"/>
    <n v="0.97"/>
    <n v="6.29"/>
    <n v="1.2"/>
    <n v="7"/>
    <x v="257"/>
    <n v="45916848"/>
    <x v="454"/>
  </r>
  <r>
    <x v="4"/>
    <x v="4"/>
    <x v="6"/>
    <x v="2"/>
    <x v="1"/>
    <x v="2"/>
    <n v="49175"/>
    <n v="304817"/>
    <x v="89"/>
    <n v="0.97"/>
    <n v="6.29"/>
    <n v="1.2"/>
    <n v="6"/>
    <x v="355"/>
    <n v="45142650"/>
    <x v="455"/>
  </r>
  <r>
    <x v="7"/>
    <x v="4"/>
    <x v="3"/>
    <x v="1"/>
    <x v="1"/>
    <x v="0"/>
    <n v="41191"/>
    <n v="331321"/>
    <x v="132"/>
    <n v="0.97"/>
    <n v="6.29"/>
    <n v="1.2"/>
    <n v="5"/>
    <x v="356"/>
    <n v="49305627"/>
    <x v="456"/>
  </r>
  <r>
    <x v="5"/>
    <x v="3"/>
    <x v="3"/>
    <x v="2"/>
    <x v="1"/>
    <x v="1"/>
    <n v="118434"/>
    <n v="442704"/>
    <x v="260"/>
    <n v="0.97"/>
    <n v="6.29"/>
    <n v="1.2"/>
    <n v="4"/>
    <x v="357"/>
    <n v="25581744"/>
    <x v="457"/>
  </r>
  <r>
    <x v="7"/>
    <x v="1"/>
    <x v="4"/>
    <x v="3"/>
    <x v="1"/>
    <x v="1"/>
    <n v="119518"/>
    <n v="270326"/>
    <x v="261"/>
    <n v="0.97"/>
    <n v="6.29"/>
    <n v="1.2"/>
    <n v="4"/>
    <x v="66"/>
    <n v="101231746"/>
    <x v="458"/>
  </r>
  <r>
    <x v="5"/>
    <x v="4"/>
    <x v="9"/>
    <x v="6"/>
    <x v="1"/>
    <x v="2"/>
    <n v="115158"/>
    <n v="249519"/>
    <x v="43"/>
    <n v="0.97"/>
    <n v="6.29"/>
    <n v="1.2"/>
    <n v="6"/>
    <x v="358"/>
    <n v="8291376"/>
    <x v="459"/>
  </r>
  <r>
    <x v="0"/>
    <x v="8"/>
    <x v="4"/>
    <x v="3"/>
    <x v="1"/>
    <x v="1"/>
    <n v="101537"/>
    <n v="311849"/>
    <x v="91"/>
    <n v="0.97"/>
    <n v="6.29"/>
    <n v="1.2"/>
    <n v="4"/>
    <x v="359"/>
    <n v="42239392"/>
    <x v="460"/>
  </r>
  <r>
    <x v="8"/>
    <x v="5"/>
    <x v="4"/>
    <x v="6"/>
    <x v="1"/>
    <x v="0"/>
    <n v="82645"/>
    <n v="369248"/>
    <x v="241"/>
    <n v="0.97"/>
    <n v="6.29"/>
    <n v="1.2"/>
    <n v="5"/>
    <x v="11"/>
    <n v="68347415"/>
    <x v="461"/>
  </r>
  <r>
    <x v="4"/>
    <x v="9"/>
    <x v="6"/>
    <x v="9"/>
    <x v="0"/>
    <x v="0"/>
    <n v="58283"/>
    <n v="396479"/>
    <x v="72"/>
    <n v="0.97"/>
    <n v="6.29"/>
    <n v="1.2"/>
    <n v="6"/>
    <x v="251"/>
    <n v="20690465"/>
    <x v="462"/>
  </r>
  <r>
    <x v="2"/>
    <x v="6"/>
    <x v="5"/>
    <x v="9"/>
    <x v="0"/>
    <x v="2"/>
    <n v="94123"/>
    <n v="427082"/>
    <x v="26"/>
    <n v="0.97"/>
    <n v="6.29"/>
    <n v="1.2"/>
    <n v="5"/>
    <x v="360"/>
    <n v="23907242"/>
    <x v="463"/>
  </r>
  <r>
    <x v="4"/>
    <x v="3"/>
    <x v="5"/>
    <x v="2"/>
    <x v="1"/>
    <x v="0"/>
    <n v="65024"/>
    <n v="130730"/>
    <x v="262"/>
    <n v="0.97"/>
    <n v="6.29"/>
    <n v="1.2"/>
    <n v="7"/>
    <x v="121"/>
    <n v="40705024"/>
    <x v="464"/>
  </r>
  <r>
    <x v="4"/>
    <x v="11"/>
    <x v="8"/>
    <x v="4"/>
    <x v="0"/>
    <x v="1"/>
    <n v="84630"/>
    <n v="448167"/>
    <x v="181"/>
    <n v="0.97"/>
    <n v="6.29"/>
    <n v="1.2"/>
    <n v="9"/>
    <x v="361"/>
    <n v="72951060"/>
    <x v="465"/>
  </r>
  <r>
    <x v="4"/>
    <x v="7"/>
    <x v="0"/>
    <x v="4"/>
    <x v="0"/>
    <x v="3"/>
    <n v="65734"/>
    <n v="287474"/>
    <x v="76"/>
    <n v="0.97"/>
    <n v="6.29"/>
    <n v="1.2"/>
    <n v="10"/>
    <x v="362"/>
    <n v="26885206"/>
    <x v="466"/>
  </r>
  <r>
    <x v="7"/>
    <x v="6"/>
    <x v="6"/>
    <x v="6"/>
    <x v="1"/>
    <x v="1"/>
    <n v="35515"/>
    <n v="340477"/>
    <x v="109"/>
    <n v="0.97"/>
    <n v="6.29"/>
    <n v="1.2"/>
    <n v="7"/>
    <x v="363"/>
    <n v="19923915"/>
    <x v="467"/>
  </r>
  <r>
    <x v="5"/>
    <x v="7"/>
    <x v="8"/>
    <x v="5"/>
    <x v="0"/>
    <x v="3"/>
    <n v="101727"/>
    <n v="333817"/>
    <x v="142"/>
    <n v="0.97"/>
    <n v="6.29"/>
    <n v="1.2"/>
    <n v="7"/>
    <x v="364"/>
    <n v="90435303"/>
    <x v="468"/>
  </r>
  <r>
    <x v="9"/>
    <x v="0"/>
    <x v="1"/>
    <x v="1"/>
    <x v="1"/>
    <x v="2"/>
    <n v="81216"/>
    <n v="426565"/>
    <x v="263"/>
    <n v="0.97"/>
    <n v="6.29"/>
    <n v="1.2"/>
    <n v="4"/>
    <x v="365"/>
    <n v="63673344"/>
    <x v="469"/>
  </r>
  <r>
    <x v="0"/>
    <x v="6"/>
    <x v="0"/>
    <x v="2"/>
    <x v="1"/>
    <x v="3"/>
    <n v="106833"/>
    <n v="90870"/>
    <x v="158"/>
    <n v="0.97"/>
    <n v="6.29"/>
    <n v="1.2"/>
    <n v="1"/>
    <x v="57"/>
    <n v="52882335"/>
    <x v="470"/>
  </r>
  <r>
    <x v="1"/>
    <x v="9"/>
    <x v="0"/>
    <x v="1"/>
    <x v="1"/>
    <x v="0"/>
    <n v="93755"/>
    <n v="303017"/>
    <x v="46"/>
    <n v="0.97"/>
    <n v="6.29"/>
    <n v="1.2"/>
    <n v="8"/>
    <x v="366"/>
    <n v="39095835"/>
    <x v="471"/>
  </r>
  <r>
    <x v="4"/>
    <x v="1"/>
    <x v="2"/>
    <x v="3"/>
    <x v="1"/>
    <x v="1"/>
    <n v="62856"/>
    <n v="177536"/>
    <x v="212"/>
    <n v="0.97"/>
    <n v="6.29"/>
    <n v="1.2"/>
    <n v="4"/>
    <x v="367"/>
    <n v="54621864"/>
    <x v="472"/>
  </r>
  <r>
    <x v="3"/>
    <x v="8"/>
    <x v="2"/>
    <x v="4"/>
    <x v="0"/>
    <x v="3"/>
    <n v="108870"/>
    <n v="383245"/>
    <x v="264"/>
    <n v="0.97"/>
    <n v="6.29"/>
    <n v="1.2"/>
    <n v="1"/>
    <x v="63"/>
    <n v="103535370"/>
    <x v="473"/>
  </r>
  <r>
    <x v="7"/>
    <x v="5"/>
    <x v="7"/>
    <x v="8"/>
    <x v="0"/>
    <x v="1"/>
    <n v="59162"/>
    <n v="334965"/>
    <x v="228"/>
    <n v="0.97"/>
    <n v="6.29"/>
    <n v="1.2"/>
    <n v="5"/>
    <x v="194"/>
    <n v="32065804"/>
    <x v="474"/>
  </r>
  <r>
    <x v="2"/>
    <x v="5"/>
    <x v="7"/>
    <x v="3"/>
    <x v="1"/>
    <x v="2"/>
    <n v="41008"/>
    <n v="75494"/>
    <x v="81"/>
    <n v="0.97"/>
    <n v="6.29"/>
    <n v="1.2"/>
    <n v="8"/>
    <x v="259"/>
    <n v="16321184"/>
    <x v="475"/>
  </r>
  <r>
    <x v="1"/>
    <x v="8"/>
    <x v="4"/>
    <x v="3"/>
    <x v="1"/>
    <x v="2"/>
    <n v="42987"/>
    <n v="149477"/>
    <x v="204"/>
    <n v="0.97"/>
    <n v="6.29"/>
    <n v="1.2"/>
    <n v="4"/>
    <x v="368"/>
    <n v="12724152"/>
    <x v="476"/>
  </r>
  <r>
    <x v="9"/>
    <x v="10"/>
    <x v="1"/>
    <x v="6"/>
    <x v="1"/>
    <x v="0"/>
    <n v="97532"/>
    <n v="438227"/>
    <x v="265"/>
    <n v="0.97"/>
    <n v="6.29"/>
    <n v="1.2"/>
    <n v="8"/>
    <x v="301"/>
    <n v="50424044"/>
    <x v="477"/>
  </r>
  <r>
    <x v="3"/>
    <x v="0"/>
    <x v="3"/>
    <x v="7"/>
    <x v="1"/>
    <x v="2"/>
    <n v="38332"/>
    <n v="255232"/>
    <x v="52"/>
    <n v="0.97"/>
    <n v="6.29"/>
    <n v="1.2"/>
    <n v="8"/>
    <x v="369"/>
    <n v="16022776"/>
    <x v="478"/>
  </r>
  <r>
    <x v="9"/>
    <x v="7"/>
    <x v="3"/>
    <x v="3"/>
    <x v="1"/>
    <x v="3"/>
    <n v="101323"/>
    <n v="424842"/>
    <x v="266"/>
    <n v="0.97"/>
    <n v="6.29"/>
    <n v="1.2"/>
    <n v="3"/>
    <x v="288"/>
    <n v="31004838"/>
    <x v="479"/>
  </r>
  <r>
    <x v="1"/>
    <x v="9"/>
    <x v="2"/>
    <x v="2"/>
    <x v="1"/>
    <x v="2"/>
    <n v="73990"/>
    <n v="423704"/>
    <x v="267"/>
    <n v="0.97"/>
    <n v="6.29"/>
    <n v="1.2"/>
    <n v="9"/>
    <x v="370"/>
    <n v="68810700"/>
    <x v="480"/>
  </r>
  <r>
    <x v="4"/>
    <x v="4"/>
    <x v="2"/>
    <x v="0"/>
    <x v="0"/>
    <x v="0"/>
    <n v="44873"/>
    <n v="444051"/>
    <x v="15"/>
    <n v="0.97"/>
    <n v="6.29"/>
    <n v="1.2"/>
    <n v="3"/>
    <x v="39"/>
    <n v="36122765"/>
    <x v="481"/>
  </r>
  <r>
    <x v="3"/>
    <x v="6"/>
    <x v="2"/>
    <x v="0"/>
    <x v="0"/>
    <x v="1"/>
    <n v="117542"/>
    <n v="330790"/>
    <x v="27"/>
    <n v="0.97"/>
    <n v="6.29"/>
    <n v="1.2"/>
    <n v="1"/>
    <x v="212"/>
    <n v="63237596"/>
    <x v="482"/>
  </r>
  <r>
    <x v="9"/>
    <x v="0"/>
    <x v="6"/>
    <x v="2"/>
    <x v="1"/>
    <x v="1"/>
    <n v="71444"/>
    <n v="173777"/>
    <x v="79"/>
    <n v="0.97"/>
    <n v="6.29"/>
    <n v="1.2"/>
    <n v="2"/>
    <x v="189"/>
    <n v="49796468"/>
    <x v="483"/>
  </r>
  <r>
    <x v="2"/>
    <x v="3"/>
    <x v="9"/>
    <x v="7"/>
    <x v="1"/>
    <x v="2"/>
    <n v="70340"/>
    <n v="127360"/>
    <x v="89"/>
    <n v="0.97"/>
    <n v="6.29"/>
    <n v="1.2"/>
    <n v="6"/>
    <x v="371"/>
    <n v="63446680"/>
    <x v="484"/>
  </r>
  <r>
    <x v="5"/>
    <x v="6"/>
    <x v="7"/>
    <x v="7"/>
    <x v="1"/>
    <x v="3"/>
    <n v="40033"/>
    <n v="349479"/>
    <x v="232"/>
    <n v="0.97"/>
    <n v="6.29"/>
    <n v="1.2"/>
    <n v="10"/>
    <x v="372"/>
    <n v="44756894"/>
    <x v="485"/>
  </r>
  <r>
    <x v="8"/>
    <x v="9"/>
    <x v="6"/>
    <x v="6"/>
    <x v="1"/>
    <x v="0"/>
    <n v="108324"/>
    <n v="381495"/>
    <x v="268"/>
    <n v="0.97"/>
    <n v="6.29"/>
    <n v="1.2"/>
    <n v="2"/>
    <x v="373"/>
    <n v="134538408"/>
    <x v="486"/>
  </r>
  <r>
    <x v="5"/>
    <x v="11"/>
    <x v="5"/>
    <x v="4"/>
    <x v="0"/>
    <x v="3"/>
    <n v="50689"/>
    <n v="427078"/>
    <x v="248"/>
    <n v="0.97"/>
    <n v="6.29"/>
    <n v="1.2"/>
    <n v="6"/>
    <x v="374"/>
    <n v="20579734"/>
    <x v="487"/>
  </r>
  <r>
    <x v="1"/>
    <x v="11"/>
    <x v="3"/>
    <x v="1"/>
    <x v="1"/>
    <x v="0"/>
    <n v="35066"/>
    <n v="183501"/>
    <x v="113"/>
    <n v="0.97"/>
    <n v="6.29"/>
    <n v="1.2"/>
    <n v="1"/>
    <x v="375"/>
    <n v="30787948"/>
    <x v="488"/>
  </r>
  <r>
    <x v="7"/>
    <x v="0"/>
    <x v="0"/>
    <x v="7"/>
    <x v="1"/>
    <x v="2"/>
    <n v="80246"/>
    <n v="354094"/>
    <x v="6"/>
    <n v="0.97"/>
    <n v="6.29"/>
    <n v="1.2"/>
    <n v="1"/>
    <x v="376"/>
    <n v="38437834"/>
    <x v="489"/>
  </r>
  <r>
    <x v="8"/>
    <x v="1"/>
    <x v="7"/>
    <x v="8"/>
    <x v="0"/>
    <x v="0"/>
    <n v="42533"/>
    <n v="110654"/>
    <x v="241"/>
    <n v="0.97"/>
    <n v="6.29"/>
    <n v="1.2"/>
    <n v="5"/>
    <x v="377"/>
    <n v="30666293"/>
    <x v="490"/>
  </r>
  <r>
    <x v="0"/>
    <x v="9"/>
    <x v="8"/>
    <x v="6"/>
    <x v="1"/>
    <x v="0"/>
    <n v="115639"/>
    <n v="419566"/>
    <x v="269"/>
    <n v="0.97"/>
    <n v="6.29"/>
    <n v="1.2"/>
    <n v="10"/>
    <x v="378"/>
    <n v="134256879"/>
    <x v="491"/>
  </r>
  <r>
    <x v="2"/>
    <x v="9"/>
    <x v="5"/>
    <x v="9"/>
    <x v="0"/>
    <x v="2"/>
    <n v="105152"/>
    <n v="422078"/>
    <x v="270"/>
    <n v="0.97"/>
    <n v="6.29"/>
    <n v="1.2"/>
    <n v="9"/>
    <x v="379"/>
    <n v="75393984"/>
    <x v="492"/>
  </r>
  <r>
    <x v="0"/>
    <x v="8"/>
    <x v="7"/>
    <x v="5"/>
    <x v="0"/>
    <x v="3"/>
    <n v="94658"/>
    <n v="169975"/>
    <x v="179"/>
    <n v="0.97"/>
    <n v="6.29"/>
    <n v="1.2"/>
    <n v="8"/>
    <x v="380"/>
    <n v="40513624"/>
    <x v="493"/>
  </r>
  <r>
    <x v="3"/>
    <x v="1"/>
    <x v="6"/>
    <x v="9"/>
    <x v="0"/>
    <x v="2"/>
    <n v="73498"/>
    <n v="249215"/>
    <x v="121"/>
    <n v="0.97"/>
    <n v="6.29"/>
    <n v="1.2"/>
    <n v="3"/>
    <x v="381"/>
    <n v="68279642"/>
    <x v="494"/>
  </r>
  <r>
    <x v="8"/>
    <x v="7"/>
    <x v="1"/>
    <x v="6"/>
    <x v="1"/>
    <x v="0"/>
    <n v="46772"/>
    <n v="403330"/>
    <x v="65"/>
    <n v="0.97"/>
    <n v="6.29"/>
    <n v="1.2"/>
    <n v="3"/>
    <x v="171"/>
    <n v="48829968"/>
    <x v="495"/>
  </r>
  <r>
    <x v="0"/>
    <x v="7"/>
    <x v="0"/>
    <x v="3"/>
    <x v="1"/>
    <x v="2"/>
    <n v="84036"/>
    <n v="416378"/>
    <x v="271"/>
    <n v="0.97"/>
    <n v="6.29"/>
    <n v="1.2"/>
    <n v="1"/>
    <x v="324"/>
    <n v="85380576"/>
    <x v="496"/>
  </r>
  <r>
    <x v="0"/>
    <x v="4"/>
    <x v="7"/>
    <x v="1"/>
    <x v="1"/>
    <x v="0"/>
    <n v="93531"/>
    <n v="152326"/>
    <x v="93"/>
    <n v="0.97"/>
    <n v="6.29"/>
    <n v="1.2"/>
    <n v="3"/>
    <x v="382"/>
    <n v="56305662"/>
    <x v="497"/>
  </r>
  <r>
    <x v="9"/>
    <x v="5"/>
    <x v="9"/>
    <x v="5"/>
    <x v="0"/>
    <x v="2"/>
    <n v="47940"/>
    <n v="127527"/>
    <x v="170"/>
    <n v="0.97"/>
    <n v="6.29"/>
    <n v="1.2"/>
    <n v="1"/>
    <x v="383"/>
    <n v="53165460"/>
    <x v="498"/>
  </r>
  <r>
    <x v="5"/>
    <x v="11"/>
    <x v="2"/>
    <x v="9"/>
    <x v="0"/>
    <x v="1"/>
    <n v="51932"/>
    <n v="398848"/>
    <x v="176"/>
    <n v="0.97"/>
    <n v="6.29"/>
    <n v="1.2"/>
    <n v="8"/>
    <x v="384"/>
    <n v="36923652"/>
    <x v="499"/>
  </r>
  <r>
    <x v="9"/>
    <x v="3"/>
    <x v="2"/>
    <x v="5"/>
    <x v="0"/>
    <x v="1"/>
    <n v="91827"/>
    <n v="474315"/>
    <x v="205"/>
    <n v="0.97"/>
    <n v="6.29"/>
    <n v="1.2"/>
    <n v="1"/>
    <x v="385"/>
    <n v="82276992"/>
    <x v="500"/>
  </r>
  <r>
    <x v="8"/>
    <x v="7"/>
    <x v="0"/>
    <x v="8"/>
    <x v="0"/>
    <x v="2"/>
    <n v="96431"/>
    <n v="482601"/>
    <x v="144"/>
    <n v="0.97"/>
    <n v="6.29"/>
    <n v="1.2"/>
    <n v="5"/>
    <x v="235"/>
    <n v="90355847"/>
    <x v="501"/>
  </r>
  <r>
    <x v="8"/>
    <x v="1"/>
    <x v="6"/>
    <x v="8"/>
    <x v="0"/>
    <x v="3"/>
    <n v="59648"/>
    <n v="216991"/>
    <x v="213"/>
    <n v="0.97"/>
    <n v="6.29"/>
    <n v="1.2"/>
    <n v="9"/>
    <x v="336"/>
    <n v="43185152"/>
    <x v="502"/>
  </r>
  <r>
    <x v="1"/>
    <x v="9"/>
    <x v="2"/>
    <x v="8"/>
    <x v="0"/>
    <x v="0"/>
    <n v="67966"/>
    <n v="146952"/>
    <x v="145"/>
    <n v="0.97"/>
    <n v="6.29"/>
    <n v="1.2"/>
    <n v="7"/>
    <x v="386"/>
    <n v="32623680"/>
    <x v="503"/>
  </r>
  <r>
    <x v="9"/>
    <x v="3"/>
    <x v="7"/>
    <x v="6"/>
    <x v="1"/>
    <x v="1"/>
    <n v="62777"/>
    <n v="372926"/>
    <x v="272"/>
    <n v="0.97"/>
    <n v="6.29"/>
    <n v="1.2"/>
    <n v="4"/>
    <x v="387"/>
    <n v="9855989"/>
    <x v="504"/>
  </r>
  <r>
    <x v="6"/>
    <x v="2"/>
    <x v="8"/>
    <x v="1"/>
    <x v="1"/>
    <x v="3"/>
    <n v="67567"/>
    <n v="383260"/>
    <x v="91"/>
    <n v="0.97"/>
    <n v="6.29"/>
    <n v="1.2"/>
    <n v="9"/>
    <x v="388"/>
    <n v="32972696"/>
    <x v="505"/>
  </r>
  <r>
    <x v="5"/>
    <x v="7"/>
    <x v="3"/>
    <x v="6"/>
    <x v="1"/>
    <x v="0"/>
    <n v="52174"/>
    <n v="401770"/>
    <x v="273"/>
    <n v="0.97"/>
    <n v="6.29"/>
    <n v="1.2"/>
    <n v="9"/>
    <x v="389"/>
    <n v="7773926"/>
    <x v="506"/>
  </r>
  <r>
    <x v="8"/>
    <x v="9"/>
    <x v="3"/>
    <x v="0"/>
    <x v="0"/>
    <x v="1"/>
    <n v="77598"/>
    <n v="483603"/>
    <x v="274"/>
    <n v="0.97"/>
    <n v="6.29"/>
    <n v="1.2"/>
    <n v="2"/>
    <x v="390"/>
    <n v="66967074"/>
    <x v="507"/>
  </r>
  <r>
    <x v="1"/>
    <x v="7"/>
    <x v="5"/>
    <x v="3"/>
    <x v="1"/>
    <x v="1"/>
    <n v="94199"/>
    <n v="196895"/>
    <x v="197"/>
    <n v="0.97"/>
    <n v="6.29"/>
    <n v="1.2"/>
    <n v="10"/>
    <x v="391"/>
    <n v="48229888"/>
    <x v="508"/>
  </r>
  <r>
    <x v="9"/>
    <x v="11"/>
    <x v="4"/>
    <x v="3"/>
    <x v="1"/>
    <x v="2"/>
    <n v="48798"/>
    <n v="96015"/>
    <x v="205"/>
    <n v="0.97"/>
    <n v="6.29"/>
    <n v="1.2"/>
    <n v="10"/>
    <x v="392"/>
    <n v="56264094"/>
    <x v="509"/>
  </r>
  <r>
    <x v="5"/>
    <x v="2"/>
    <x v="1"/>
    <x v="8"/>
    <x v="0"/>
    <x v="0"/>
    <n v="100364"/>
    <n v="152877"/>
    <x v="236"/>
    <n v="0.97"/>
    <n v="6.29"/>
    <n v="1.2"/>
    <n v="6"/>
    <x v="393"/>
    <n v="64132596"/>
    <x v="510"/>
  </r>
  <r>
    <x v="9"/>
    <x v="6"/>
    <x v="0"/>
    <x v="0"/>
    <x v="0"/>
    <x v="3"/>
    <n v="52558"/>
    <n v="327483"/>
    <x v="275"/>
    <n v="0.97"/>
    <n v="6.29"/>
    <n v="1.2"/>
    <n v="4"/>
    <x v="394"/>
    <n v="28644110"/>
    <x v="511"/>
  </r>
  <r>
    <x v="0"/>
    <x v="7"/>
    <x v="5"/>
    <x v="7"/>
    <x v="1"/>
    <x v="3"/>
    <n v="96084"/>
    <n v="184563"/>
    <x v="76"/>
    <n v="0.97"/>
    <n v="6.29"/>
    <n v="1.2"/>
    <n v="8"/>
    <x v="272"/>
    <n v="41316120"/>
    <x v="512"/>
  </r>
  <r>
    <x v="1"/>
    <x v="1"/>
    <x v="4"/>
    <x v="7"/>
    <x v="1"/>
    <x v="3"/>
    <n v="79237"/>
    <n v="443922"/>
    <x v="10"/>
    <n v="0.97"/>
    <n v="6.29"/>
    <n v="1.2"/>
    <n v="7"/>
    <x v="241"/>
    <n v="63944259"/>
    <x v="513"/>
  </r>
  <r>
    <x v="5"/>
    <x v="7"/>
    <x v="6"/>
    <x v="8"/>
    <x v="0"/>
    <x v="0"/>
    <n v="100497"/>
    <n v="147493"/>
    <x v="247"/>
    <n v="0.97"/>
    <n v="6.29"/>
    <n v="1.2"/>
    <n v="7"/>
    <x v="107"/>
    <n v="62509134"/>
    <x v="514"/>
  </r>
  <r>
    <x v="4"/>
    <x v="5"/>
    <x v="9"/>
    <x v="9"/>
    <x v="0"/>
    <x v="3"/>
    <n v="35178"/>
    <n v="196800"/>
    <x v="214"/>
    <n v="0.97"/>
    <n v="6.29"/>
    <n v="1.2"/>
    <n v="10"/>
    <x v="39"/>
    <n v="28318290"/>
    <x v="515"/>
  </r>
  <r>
    <x v="3"/>
    <x v="3"/>
    <x v="9"/>
    <x v="6"/>
    <x v="1"/>
    <x v="3"/>
    <n v="52118"/>
    <n v="450213"/>
    <x v="47"/>
    <n v="0.97"/>
    <n v="6.29"/>
    <n v="1.2"/>
    <n v="9"/>
    <x v="83"/>
    <n v="34762706"/>
    <x v="516"/>
  </r>
  <r>
    <x v="3"/>
    <x v="3"/>
    <x v="1"/>
    <x v="8"/>
    <x v="0"/>
    <x v="3"/>
    <n v="57616"/>
    <n v="241480"/>
    <x v="269"/>
    <n v="0.97"/>
    <n v="6.29"/>
    <n v="1.2"/>
    <n v="5"/>
    <x v="395"/>
    <n v="69254432"/>
    <x v="517"/>
  </r>
  <r>
    <x v="5"/>
    <x v="11"/>
    <x v="2"/>
    <x v="4"/>
    <x v="0"/>
    <x v="2"/>
    <n v="35798"/>
    <n v="441670"/>
    <x v="2"/>
    <n v="0.97"/>
    <n v="6.29"/>
    <n v="1.2"/>
    <n v="6"/>
    <x v="396"/>
    <n v="5405498"/>
    <x v="518"/>
  </r>
  <r>
    <x v="9"/>
    <x v="1"/>
    <x v="7"/>
    <x v="5"/>
    <x v="0"/>
    <x v="2"/>
    <n v="42601"/>
    <n v="481739"/>
    <x v="276"/>
    <n v="0.97"/>
    <n v="6.29"/>
    <n v="1.2"/>
    <n v="1"/>
    <x v="384"/>
    <n v="30289311"/>
    <x v="519"/>
  </r>
  <r>
    <x v="1"/>
    <x v="2"/>
    <x v="5"/>
    <x v="3"/>
    <x v="1"/>
    <x v="0"/>
    <n v="60363"/>
    <n v="171648"/>
    <x v="148"/>
    <n v="0.97"/>
    <n v="6.29"/>
    <n v="1.2"/>
    <n v="6"/>
    <x v="363"/>
    <n v="33863643"/>
    <x v="520"/>
  </r>
  <r>
    <x v="3"/>
    <x v="8"/>
    <x v="5"/>
    <x v="7"/>
    <x v="1"/>
    <x v="0"/>
    <n v="37795"/>
    <n v="337307"/>
    <x v="91"/>
    <n v="0.97"/>
    <n v="6.29"/>
    <n v="1.2"/>
    <n v="2"/>
    <x v="345"/>
    <n v="7256640"/>
    <x v="521"/>
  </r>
  <r>
    <x v="1"/>
    <x v="1"/>
    <x v="0"/>
    <x v="2"/>
    <x v="1"/>
    <x v="3"/>
    <n v="80264"/>
    <n v="198790"/>
    <x v="254"/>
    <n v="0.97"/>
    <n v="6.29"/>
    <n v="1.2"/>
    <n v="6"/>
    <x v="397"/>
    <n v="75127104"/>
    <x v="522"/>
  </r>
  <r>
    <x v="3"/>
    <x v="3"/>
    <x v="0"/>
    <x v="7"/>
    <x v="1"/>
    <x v="2"/>
    <n v="107833"/>
    <n v="137508"/>
    <x v="219"/>
    <n v="0.97"/>
    <n v="6.29"/>
    <n v="1.2"/>
    <n v="9"/>
    <x v="296"/>
    <n v="42594035"/>
    <x v="523"/>
  </r>
  <r>
    <x v="0"/>
    <x v="5"/>
    <x v="9"/>
    <x v="3"/>
    <x v="1"/>
    <x v="1"/>
    <n v="38084"/>
    <n v="264839"/>
    <x v="92"/>
    <n v="0.97"/>
    <n v="6.29"/>
    <n v="1.2"/>
    <n v="8"/>
    <x v="398"/>
    <n v="10168428"/>
    <x v="524"/>
  </r>
  <r>
    <x v="9"/>
    <x v="6"/>
    <x v="9"/>
    <x v="5"/>
    <x v="0"/>
    <x v="1"/>
    <n v="111646"/>
    <n v="351763"/>
    <x v="277"/>
    <n v="0.97"/>
    <n v="6.29"/>
    <n v="1.2"/>
    <n v="9"/>
    <x v="115"/>
    <n v="79938536"/>
    <x v="525"/>
  </r>
  <r>
    <x v="0"/>
    <x v="11"/>
    <x v="8"/>
    <x v="3"/>
    <x v="1"/>
    <x v="3"/>
    <n v="35731"/>
    <n v="324270"/>
    <x v="222"/>
    <n v="0.97"/>
    <n v="6.29"/>
    <n v="1.2"/>
    <n v="10"/>
    <x v="399"/>
    <n v="18723044"/>
    <x v="526"/>
  </r>
  <r>
    <x v="3"/>
    <x v="8"/>
    <x v="8"/>
    <x v="2"/>
    <x v="1"/>
    <x v="3"/>
    <n v="36129"/>
    <n v="114926"/>
    <x v="143"/>
    <n v="0.97"/>
    <n v="6.29"/>
    <n v="1.2"/>
    <n v="8"/>
    <x v="379"/>
    <n v="25904493"/>
    <x v="527"/>
  </r>
  <r>
    <x v="4"/>
    <x v="5"/>
    <x v="2"/>
    <x v="8"/>
    <x v="0"/>
    <x v="2"/>
    <n v="63022"/>
    <n v="90633"/>
    <x v="139"/>
    <n v="0.97"/>
    <n v="6.29"/>
    <n v="1.2"/>
    <n v="3"/>
    <x v="400"/>
    <n v="58925570"/>
    <x v="528"/>
  </r>
  <r>
    <x v="4"/>
    <x v="2"/>
    <x v="8"/>
    <x v="0"/>
    <x v="0"/>
    <x v="2"/>
    <n v="36605"/>
    <n v="258726"/>
    <x v="84"/>
    <n v="0.97"/>
    <n v="6.29"/>
    <n v="1.2"/>
    <n v="8"/>
    <x v="107"/>
    <n v="22768310"/>
    <x v="529"/>
  </r>
  <r>
    <x v="0"/>
    <x v="2"/>
    <x v="7"/>
    <x v="2"/>
    <x v="1"/>
    <x v="2"/>
    <n v="112506"/>
    <n v="53317"/>
    <x v="278"/>
    <n v="0.97"/>
    <n v="6.29"/>
    <n v="1.2"/>
    <n v="6"/>
    <x v="401"/>
    <n v="76616586"/>
    <x v="530"/>
  </r>
  <r>
    <x v="4"/>
    <x v="5"/>
    <x v="7"/>
    <x v="3"/>
    <x v="1"/>
    <x v="0"/>
    <n v="79130"/>
    <n v="357124"/>
    <x v="277"/>
    <n v="0.97"/>
    <n v="6.29"/>
    <n v="1.2"/>
    <n v="6"/>
    <x v="61"/>
    <n v="27537240"/>
    <x v="531"/>
  </r>
  <r>
    <x v="3"/>
    <x v="0"/>
    <x v="5"/>
    <x v="3"/>
    <x v="1"/>
    <x v="0"/>
    <n v="64265"/>
    <n v="356259"/>
    <x v="199"/>
    <n v="0.97"/>
    <n v="6.29"/>
    <n v="1.2"/>
    <n v="6"/>
    <x v="322"/>
    <n v="14845215"/>
    <x v="532"/>
  </r>
  <r>
    <x v="5"/>
    <x v="11"/>
    <x v="3"/>
    <x v="4"/>
    <x v="0"/>
    <x v="3"/>
    <n v="67330"/>
    <n v="242718"/>
    <x v="279"/>
    <n v="0.97"/>
    <n v="6.29"/>
    <n v="1.2"/>
    <n v="3"/>
    <x v="385"/>
    <n v="60327680"/>
    <x v="533"/>
  </r>
  <r>
    <x v="0"/>
    <x v="1"/>
    <x v="7"/>
    <x v="4"/>
    <x v="0"/>
    <x v="0"/>
    <n v="103469"/>
    <n v="355302"/>
    <x v="185"/>
    <n v="0.97"/>
    <n v="6.29"/>
    <n v="1.2"/>
    <n v="10"/>
    <x v="402"/>
    <n v="76049715"/>
    <x v="534"/>
  </r>
  <r>
    <x v="7"/>
    <x v="9"/>
    <x v="4"/>
    <x v="1"/>
    <x v="1"/>
    <x v="2"/>
    <n v="50187"/>
    <n v="237035"/>
    <x v="200"/>
    <n v="0.97"/>
    <n v="6.29"/>
    <n v="1.2"/>
    <n v="1"/>
    <x v="403"/>
    <n v="35532396"/>
    <x v="535"/>
  </r>
  <r>
    <x v="9"/>
    <x v="6"/>
    <x v="9"/>
    <x v="4"/>
    <x v="0"/>
    <x v="2"/>
    <n v="60791"/>
    <n v="490847"/>
    <x v="276"/>
    <n v="0.97"/>
    <n v="6.29"/>
    <n v="1.2"/>
    <n v="4"/>
    <x v="225"/>
    <n v="37994375"/>
    <x v="536"/>
  </r>
  <r>
    <x v="4"/>
    <x v="9"/>
    <x v="0"/>
    <x v="6"/>
    <x v="1"/>
    <x v="0"/>
    <n v="105610"/>
    <n v="230388"/>
    <x v="211"/>
    <n v="0.97"/>
    <n v="6.29"/>
    <n v="1.2"/>
    <n v="10"/>
    <x v="404"/>
    <n v="107933420"/>
    <x v="537"/>
  </r>
  <r>
    <x v="4"/>
    <x v="1"/>
    <x v="8"/>
    <x v="0"/>
    <x v="0"/>
    <x v="1"/>
    <n v="74867"/>
    <n v="417508"/>
    <x v="103"/>
    <n v="0.97"/>
    <n v="6.29"/>
    <n v="1.2"/>
    <n v="6"/>
    <x v="63"/>
    <n v="71198517"/>
    <x v="538"/>
  </r>
  <r>
    <x v="8"/>
    <x v="1"/>
    <x v="5"/>
    <x v="5"/>
    <x v="0"/>
    <x v="3"/>
    <n v="35893"/>
    <n v="327648"/>
    <x v="280"/>
    <n v="0.97"/>
    <n v="6.29"/>
    <n v="1.2"/>
    <n v="10"/>
    <x v="405"/>
    <n v="7609316"/>
    <x v="539"/>
  </r>
  <r>
    <x v="6"/>
    <x v="11"/>
    <x v="1"/>
    <x v="2"/>
    <x v="1"/>
    <x v="1"/>
    <n v="54773"/>
    <n v="249665"/>
    <x v="238"/>
    <n v="0.97"/>
    <n v="6.29"/>
    <n v="1.2"/>
    <n v="2"/>
    <x v="406"/>
    <n v="53787086"/>
    <x v="540"/>
  </r>
  <r>
    <x v="0"/>
    <x v="1"/>
    <x v="0"/>
    <x v="3"/>
    <x v="1"/>
    <x v="3"/>
    <n v="39239"/>
    <n v="469876"/>
    <x v="114"/>
    <n v="0.97"/>
    <n v="6.29"/>
    <n v="1.2"/>
    <n v="7"/>
    <x v="407"/>
    <n v="25858501"/>
    <x v="541"/>
  </r>
  <r>
    <x v="2"/>
    <x v="3"/>
    <x v="4"/>
    <x v="1"/>
    <x v="1"/>
    <x v="1"/>
    <n v="55863"/>
    <n v="349340"/>
    <x v="195"/>
    <n v="0.97"/>
    <n v="6.29"/>
    <n v="1.2"/>
    <n v="7"/>
    <x v="408"/>
    <n v="57594753"/>
    <x v="542"/>
  </r>
  <r>
    <x v="4"/>
    <x v="0"/>
    <x v="8"/>
    <x v="1"/>
    <x v="1"/>
    <x v="0"/>
    <n v="86415"/>
    <n v="378082"/>
    <x v="278"/>
    <n v="0.97"/>
    <n v="6.29"/>
    <n v="1.2"/>
    <n v="4"/>
    <x v="409"/>
    <n v="57552390"/>
    <x v="543"/>
  </r>
  <r>
    <x v="9"/>
    <x v="8"/>
    <x v="4"/>
    <x v="5"/>
    <x v="0"/>
    <x v="3"/>
    <n v="103968"/>
    <n v="451821"/>
    <x v="96"/>
    <n v="0.97"/>
    <n v="6.29"/>
    <n v="1.2"/>
    <n v="4"/>
    <x v="410"/>
    <n v="62484768"/>
    <x v="544"/>
  </r>
  <r>
    <x v="7"/>
    <x v="1"/>
    <x v="9"/>
    <x v="0"/>
    <x v="0"/>
    <x v="3"/>
    <n v="95430"/>
    <n v="369532"/>
    <x v="281"/>
    <n v="0.97"/>
    <n v="6.29"/>
    <n v="1.2"/>
    <n v="1"/>
    <x v="411"/>
    <n v="48669300"/>
    <x v="545"/>
  </r>
  <r>
    <x v="4"/>
    <x v="9"/>
    <x v="9"/>
    <x v="2"/>
    <x v="1"/>
    <x v="3"/>
    <n v="36515"/>
    <n v="262369"/>
    <x v="40"/>
    <n v="0.97"/>
    <n v="6.29"/>
    <n v="1.2"/>
    <n v="2"/>
    <x v="78"/>
    <n v="17308110"/>
    <x v="546"/>
  </r>
  <r>
    <x v="7"/>
    <x v="1"/>
    <x v="2"/>
    <x v="7"/>
    <x v="1"/>
    <x v="2"/>
    <n v="49605"/>
    <n v="105501"/>
    <x v="31"/>
    <n v="0.97"/>
    <n v="6.29"/>
    <n v="1.2"/>
    <n v="9"/>
    <x v="412"/>
    <n v="37650195"/>
    <x v="547"/>
  </r>
  <r>
    <x v="3"/>
    <x v="2"/>
    <x v="5"/>
    <x v="4"/>
    <x v="0"/>
    <x v="2"/>
    <n v="91240"/>
    <n v="234381"/>
    <x v="187"/>
    <n v="0.97"/>
    <n v="6.29"/>
    <n v="1.2"/>
    <n v="10"/>
    <x v="413"/>
    <n v="68430000"/>
    <x v="548"/>
  </r>
  <r>
    <x v="3"/>
    <x v="0"/>
    <x v="0"/>
    <x v="8"/>
    <x v="0"/>
    <x v="1"/>
    <n v="40586"/>
    <n v="77043"/>
    <x v="282"/>
    <n v="0.97"/>
    <n v="6.29"/>
    <n v="1.2"/>
    <n v="8"/>
    <x v="370"/>
    <n v="37744980"/>
    <x v="549"/>
  </r>
  <r>
    <x v="6"/>
    <x v="3"/>
    <x v="6"/>
    <x v="1"/>
    <x v="1"/>
    <x v="0"/>
    <n v="66186"/>
    <n v="83635"/>
    <x v="70"/>
    <n v="0.97"/>
    <n v="6.29"/>
    <n v="1.2"/>
    <n v="8"/>
    <x v="414"/>
    <n v="59898330"/>
    <x v="550"/>
  </r>
  <r>
    <x v="5"/>
    <x v="3"/>
    <x v="6"/>
    <x v="4"/>
    <x v="0"/>
    <x v="2"/>
    <n v="61928"/>
    <n v="260387"/>
    <x v="283"/>
    <n v="0.97"/>
    <n v="6.29"/>
    <n v="1.2"/>
    <n v="9"/>
    <x v="415"/>
    <n v="49418544"/>
    <x v="551"/>
  </r>
  <r>
    <x v="2"/>
    <x v="7"/>
    <x v="0"/>
    <x v="4"/>
    <x v="0"/>
    <x v="3"/>
    <n v="118087"/>
    <n v="130691"/>
    <x v="284"/>
    <n v="0.97"/>
    <n v="6.29"/>
    <n v="1.2"/>
    <n v="7"/>
    <x v="416"/>
    <n v="36725057"/>
    <x v="552"/>
  </r>
  <r>
    <x v="8"/>
    <x v="3"/>
    <x v="1"/>
    <x v="6"/>
    <x v="1"/>
    <x v="2"/>
    <n v="55711"/>
    <n v="345276"/>
    <x v="52"/>
    <n v="0.97"/>
    <n v="6.29"/>
    <n v="1.2"/>
    <n v="9"/>
    <x v="417"/>
    <n v="9470870"/>
    <x v="553"/>
  </r>
  <r>
    <x v="6"/>
    <x v="7"/>
    <x v="5"/>
    <x v="0"/>
    <x v="0"/>
    <x v="0"/>
    <n v="89962"/>
    <n v="327510"/>
    <x v="285"/>
    <n v="0.97"/>
    <n v="6.29"/>
    <n v="1.2"/>
    <n v="10"/>
    <x v="418"/>
    <n v="25369284"/>
    <x v="554"/>
  </r>
  <r>
    <x v="1"/>
    <x v="5"/>
    <x v="4"/>
    <x v="8"/>
    <x v="0"/>
    <x v="2"/>
    <n v="55039"/>
    <n v="143944"/>
    <x v="107"/>
    <n v="0.97"/>
    <n v="6.29"/>
    <n v="1.2"/>
    <n v="2"/>
    <x v="419"/>
    <n v="36766052"/>
    <x v="555"/>
  </r>
  <r>
    <x v="8"/>
    <x v="6"/>
    <x v="1"/>
    <x v="7"/>
    <x v="1"/>
    <x v="3"/>
    <n v="71561"/>
    <n v="253179"/>
    <x v="222"/>
    <n v="0.97"/>
    <n v="6.29"/>
    <n v="1.2"/>
    <n v="6"/>
    <x v="420"/>
    <n v="20323324"/>
    <x v="556"/>
  </r>
  <r>
    <x v="0"/>
    <x v="4"/>
    <x v="3"/>
    <x v="3"/>
    <x v="1"/>
    <x v="1"/>
    <n v="110483"/>
    <n v="427411"/>
    <x v="141"/>
    <n v="0.97"/>
    <n v="6.29"/>
    <n v="1.2"/>
    <n v="3"/>
    <x v="421"/>
    <n v="70819603"/>
    <x v="557"/>
  </r>
  <r>
    <x v="9"/>
    <x v="3"/>
    <x v="0"/>
    <x v="6"/>
    <x v="1"/>
    <x v="3"/>
    <n v="116395"/>
    <n v="89236"/>
    <x v="228"/>
    <n v="0.97"/>
    <n v="6.29"/>
    <n v="1.2"/>
    <n v="6"/>
    <x v="208"/>
    <n v="64017250"/>
    <x v="558"/>
  </r>
  <r>
    <x v="1"/>
    <x v="8"/>
    <x v="4"/>
    <x v="4"/>
    <x v="0"/>
    <x v="0"/>
    <n v="36577"/>
    <n v="316294"/>
    <x v="92"/>
    <n v="0.97"/>
    <n v="6.29"/>
    <n v="1.2"/>
    <n v="3"/>
    <x v="121"/>
    <n v="22897202"/>
    <x v="559"/>
  </r>
  <r>
    <x v="1"/>
    <x v="2"/>
    <x v="6"/>
    <x v="4"/>
    <x v="0"/>
    <x v="1"/>
    <n v="63350"/>
    <n v="423513"/>
    <x v="153"/>
    <n v="0.97"/>
    <n v="6.29"/>
    <n v="1.2"/>
    <n v="8"/>
    <x v="422"/>
    <n v="65440550"/>
    <x v="560"/>
  </r>
  <r>
    <x v="6"/>
    <x v="10"/>
    <x v="7"/>
    <x v="9"/>
    <x v="0"/>
    <x v="2"/>
    <n v="68798"/>
    <n v="331567"/>
    <x v="207"/>
    <n v="0.97"/>
    <n v="6.29"/>
    <n v="1.2"/>
    <n v="4"/>
    <x v="3"/>
    <n v="50222540"/>
    <x v="561"/>
  </r>
  <r>
    <x v="5"/>
    <x v="5"/>
    <x v="2"/>
    <x v="8"/>
    <x v="0"/>
    <x v="2"/>
    <n v="116417"/>
    <n v="54137"/>
    <x v="218"/>
    <n v="0.97"/>
    <n v="6.29"/>
    <n v="1.2"/>
    <n v="10"/>
    <x v="36"/>
    <n v="82073985"/>
    <x v="562"/>
  </r>
  <r>
    <x v="6"/>
    <x v="3"/>
    <x v="6"/>
    <x v="8"/>
    <x v="0"/>
    <x v="2"/>
    <n v="45785"/>
    <n v="79992"/>
    <x v="109"/>
    <n v="0.97"/>
    <n v="6.29"/>
    <n v="1.2"/>
    <n v="6"/>
    <x v="194"/>
    <n v="24815470"/>
    <x v="563"/>
  </r>
  <r>
    <x v="0"/>
    <x v="6"/>
    <x v="5"/>
    <x v="9"/>
    <x v="0"/>
    <x v="1"/>
    <n v="107227"/>
    <n v="422684"/>
    <x v="286"/>
    <n v="0.97"/>
    <n v="6.29"/>
    <n v="1.2"/>
    <n v="9"/>
    <x v="40"/>
    <n v="40746260"/>
    <x v="564"/>
  </r>
  <r>
    <x v="4"/>
    <x v="7"/>
    <x v="9"/>
    <x v="8"/>
    <x v="0"/>
    <x v="3"/>
    <n v="96957"/>
    <n v="165140"/>
    <x v="159"/>
    <n v="0.97"/>
    <n v="6.29"/>
    <n v="1.2"/>
    <n v="2"/>
    <x v="77"/>
    <n v="58658985"/>
    <x v="565"/>
  </r>
  <r>
    <x v="4"/>
    <x v="9"/>
    <x v="7"/>
    <x v="4"/>
    <x v="0"/>
    <x v="1"/>
    <n v="100431"/>
    <n v="225993"/>
    <x v="253"/>
    <n v="0.97"/>
    <n v="6.29"/>
    <n v="1.2"/>
    <n v="2"/>
    <x v="423"/>
    <n v="64878426"/>
    <x v="566"/>
  </r>
  <r>
    <x v="5"/>
    <x v="10"/>
    <x v="2"/>
    <x v="1"/>
    <x v="1"/>
    <x v="1"/>
    <n v="52297"/>
    <n v="171225"/>
    <x v="287"/>
    <n v="0.97"/>
    <n v="6.29"/>
    <n v="1.2"/>
    <n v="7"/>
    <x v="424"/>
    <n v="38595186"/>
    <x v="567"/>
  </r>
  <r>
    <x v="0"/>
    <x v="6"/>
    <x v="2"/>
    <x v="2"/>
    <x v="1"/>
    <x v="0"/>
    <n v="106894"/>
    <n v="379061"/>
    <x v="91"/>
    <n v="0.97"/>
    <n v="6.29"/>
    <n v="1.2"/>
    <n v="2"/>
    <x v="297"/>
    <n v="49919498"/>
    <x v="568"/>
  </r>
  <r>
    <x v="5"/>
    <x v="6"/>
    <x v="3"/>
    <x v="4"/>
    <x v="0"/>
    <x v="1"/>
    <n v="98772"/>
    <n v="385834"/>
    <x v="216"/>
    <n v="0.97"/>
    <n v="6.29"/>
    <n v="1.2"/>
    <n v="2"/>
    <x v="374"/>
    <n v="40101432"/>
    <x v="569"/>
  </r>
  <r>
    <x v="7"/>
    <x v="3"/>
    <x v="3"/>
    <x v="6"/>
    <x v="1"/>
    <x v="2"/>
    <n v="54581"/>
    <n v="346379"/>
    <x v="60"/>
    <n v="0.97"/>
    <n v="6.29"/>
    <n v="1.2"/>
    <n v="4"/>
    <x v="318"/>
    <n v="18885026"/>
    <x v="570"/>
  </r>
  <r>
    <x v="4"/>
    <x v="5"/>
    <x v="8"/>
    <x v="0"/>
    <x v="0"/>
    <x v="3"/>
    <n v="90192"/>
    <n v="260047"/>
    <x v="267"/>
    <n v="0.97"/>
    <n v="6.29"/>
    <n v="1.2"/>
    <n v="9"/>
    <x v="365"/>
    <n v="70710528"/>
    <x v="571"/>
  </r>
  <r>
    <x v="1"/>
    <x v="10"/>
    <x v="6"/>
    <x v="9"/>
    <x v="0"/>
    <x v="3"/>
    <n v="36462"/>
    <n v="69122"/>
    <x v="69"/>
    <n v="0.97"/>
    <n v="6.29"/>
    <n v="1.2"/>
    <n v="8"/>
    <x v="425"/>
    <n v="6636084"/>
    <x v="572"/>
  </r>
  <r>
    <x v="2"/>
    <x v="11"/>
    <x v="6"/>
    <x v="7"/>
    <x v="1"/>
    <x v="3"/>
    <n v="99173"/>
    <n v="336100"/>
    <x v="288"/>
    <n v="0.97"/>
    <n v="6.29"/>
    <n v="1.2"/>
    <n v="2"/>
    <x v="426"/>
    <n v="42743563"/>
    <x v="573"/>
  </r>
  <r>
    <x v="9"/>
    <x v="4"/>
    <x v="6"/>
    <x v="3"/>
    <x v="1"/>
    <x v="2"/>
    <n v="50511"/>
    <n v="113879"/>
    <x v="265"/>
    <n v="0.97"/>
    <n v="6.29"/>
    <n v="1.2"/>
    <n v="8"/>
    <x v="427"/>
    <n v="15607899"/>
    <x v="574"/>
  </r>
  <r>
    <x v="0"/>
    <x v="11"/>
    <x v="8"/>
    <x v="7"/>
    <x v="1"/>
    <x v="2"/>
    <n v="111106"/>
    <n v="108560"/>
    <x v="289"/>
    <n v="0.97"/>
    <n v="6.29"/>
    <n v="1.2"/>
    <n v="4"/>
    <x v="428"/>
    <n v="42331386"/>
    <x v="575"/>
  </r>
  <r>
    <x v="8"/>
    <x v="2"/>
    <x v="1"/>
    <x v="4"/>
    <x v="0"/>
    <x v="2"/>
    <n v="83665"/>
    <n v="422454"/>
    <x v="251"/>
    <n v="0.97"/>
    <n v="6.29"/>
    <n v="1.2"/>
    <n v="2"/>
    <x v="429"/>
    <n v="46266745"/>
    <x v="576"/>
  </r>
  <r>
    <x v="5"/>
    <x v="10"/>
    <x v="2"/>
    <x v="6"/>
    <x v="1"/>
    <x v="2"/>
    <n v="79414"/>
    <n v="249757"/>
    <x v="290"/>
    <n v="0.97"/>
    <n v="6.29"/>
    <n v="1.2"/>
    <n v="10"/>
    <x v="122"/>
    <n v="50189648"/>
    <x v="577"/>
  </r>
  <r>
    <x v="9"/>
    <x v="11"/>
    <x v="7"/>
    <x v="4"/>
    <x v="0"/>
    <x v="2"/>
    <n v="116010"/>
    <n v="467876"/>
    <x v="291"/>
    <n v="0.97"/>
    <n v="6.29"/>
    <n v="1.2"/>
    <n v="7"/>
    <x v="163"/>
    <n v="102900870"/>
    <x v="578"/>
  </r>
  <r>
    <x v="8"/>
    <x v="3"/>
    <x v="5"/>
    <x v="0"/>
    <x v="0"/>
    <x v="1"/>
    <n v="107573"/>
    <n v="287268"/>
    <x v="292"/>
    <n v="0.97"/>
    <n v="6.29"/>
    <n v="1.2"/>
    <n v="6"/>
    <x v="412"/>
    <n v="81647907"/>
    <x v="579"/>
  </r>
  <r>
    <x v="9"/>
    <x v="0"/>
    <x v="2"/>
    <x v="1"/>
    <x v="1"/>
    <x v="2"/>
    <n v="48386"/>
    <n v="313312"/>
    <x v="166"/>
    <n v="0.97"/>
    <n v="6.29"/>
    <n v="1.2"/>
    <n v="10"/>
    <x v="237"/>
    <n v="29757390"/>
    <x v="580"/>
  </r>
  <r>
    <x v="2"/>
    <x v="7"/>
    <x v="3"/>
    <x v="3"/>
    <x v="1"/>
    <x v="2"/>
    <n v="89460"/>
    <n v="357268"/>
    <x v="229"/>
    <n v="0.97"/>
    <n v="6.29"/>
    <n v="1.2"/>
    <n v="5"/>
    <x v="430"/>
    <n v="9930060"/>
    <x v="581"/>
  </r>
  <r>
    <x v="8"/>
    <x v="0"/>
    <x v="4"/>
    <x v="0"/>
    <x v="0"/>
    <x v="2"/>
    <n v="41221"/>
    <n v="216969"/>
    <x v="188"/>
    <n v="0.97"/>
    <n v="6.29"/>
    <n v="1.2"/>
    <n v="1"/>
    <x v="431"/>
    <n v="20280732"/>
    <x v="582"/>
  </r>
  <r>
    <x v="6"/>
    <x v="1"/>
    <x v="9"/>
    <x v="9"/>
    <x v="0"/>
    <x v="2"/>
    <n v="58474"/>
    <n v="196104"/>
    <x v="243"/>
    <n v="0.97"/>
    <n v="6.29"/>
    <n v="1.2"/>
    <n v="2"/>
    <x v="179"/>
    <n v="14326130"/>
    <x v="583"/>
  </r>
  <r>
    <x v="3"/>
    <x v="11"/>
    <x v="8"/>
    <x v="9"/>
    <x v="0"/>
    <x v="3"/>
    <n v="56045"/>
    <n v="364941"/>
    <x v="70"/>
    <n v="0.97"/>
    <n v="6.29"/>
    <n v="1.2"/>
    <n v="8"/>
    <x v="432"/>
    <n v="62434130"/>
    <x v="584"/>
  </r>
  <r>
    <x v="6"/>
    <x v="2"/>
    <x v="0"/>
    <x v="4"/>
    <x v="0"/>
    <x v="2"/>
    <n v="39922"/>
    <n v="347438"/>
    <x v="279"/>
    <n v="0.97"/>
    <n v="6.29"/>
    <n v="1.2"/>
    <n v="1"/>
    <x v="421"/>
    <n v="25590002"/>
    <x v="585"/>
  </r>
  <r>
    <x v="4"/>
    <x v="1"/>
    <x v="4"/>
    <x v="6"/>
    <x v="1"/>
    <x v="1"/>
    <n v="57706"/>
    <n v="487043"/>
    <x v="29"/>
    <n v="0.97"/>
    <n v="6.29"/>
    <n v="1.2"/>
    <n v="3"/>
    <x v="433"/>
    <n v="42529322"/>
    <x v="586"/>
  </r>
  <r>
    <x v="3"/>
    <x v="9"/>
    <x v="5"/>
    <x v="0"/>
    <x v="0"/>
    <x v="1"/>
    <n v="77771"/>
    <n v="315660"/>
    <x v="69"/>
    <n v="0.97"/>
    <n v="6.29"/>
    <n v="1.2"/>
    <n v="2"/>
    <x v="47"/>
    <n v="17498475"/>
    <x v="587"/>
  </r>
  <r>
    <x v="6"/>
    <x v="8"/>
    <x v="6"/>
    <x v="5"/>
    <x v="0"/>
    <x v="1"/>
    <n v="87335"/>
    <n v="200823"/>
    <x v="109"/>
    <n v="0.97"/>
    <n v="6.29"/>
    <n v="1.2"/>
    <n v="5"/>
    <x v="97"/>
    <n v="39388085"/>
    <x v="588"/>
  </r>
  <r>
    <x v="3"/>
    <x v="9"/>
    <x v="3"/>
    <x v="6"/>
    <x v="1"/>
    <x v="0"/>
    <n v="87949"/>
    <n v="80373"/>
    <x v="293"/>
    <n v="0.97"/>
    <n v="6.29"/>
    <n v="1.2"/>
    <n v="4"/>
    <x v="238"/>
    <n v="23306485"/>
    <x v="589"/>
  </r>
  <r>
    <x v="3"/>
    <x v="10"/>
    <x v="3"/>
    <x v="1"/>
    <x v="1"/>
    <x v="3"/>
    <n v="105714"/>
    <n v="172026"/>
    <x v="61"/>
    <n v="0.97"/>
    <n v="6.29"/>
    <n v="1.2"/>
    <n v="7"/>
    <x v="269"/>
    <n v="64379826"/>
    <x v="590"/>
  </r>
  <r>
    <x v="1"/>
    <x v="6"/>
    <x v="3"/>
    <x v="9"/>
    <x v="0"/>
    <x v="2"/>
    <n v="50240"/>
    <n v="80270"/>
    <x v="77"/>
    <n v="0.97"/>
    <n v="6.29"/>
    <n v="1.2"/>
    <n v="5"/>
    <x v="434"/>
    <n v="35318720"/>
    <x v="591"/>
  </r>
  <r>
    <x v="5"/>
    <x v="7"/>
    <x v="6"/>
    <x v="4"/>
    <x v="0"/>
    <x v="0"/>
    <n v="37716"/>
    <n v="453602"/>
    <x v="249"/>
    <n v="0.97"/>
    <n v="6.29"/>
    <n v="1.2"/>
    <n v="8"/>
    <x v="435"/>
    <n v="12333132"/>
    <x v="592"/>
  </r>
  <r>
    <x v="5"/>
    <x v="11"/>
    <x v="0"/>
    <x v="8"/>
    <x v="0"/>
    <x v="2"/>
    <n v="51574"/>
    <n v="282931"/>
    <x v="235"/>
    <n v="0.97"/>
    <n v="6.29"/>
    <n v="1.2"/>
    <n v="4"/>
    <x v="436"/>
    <n v="30480234"/>
    <x v="593"/>
  </r>
  <r>
    <x v="1"/>
    <x v="2"/>
    <x v="8"/>
    <x v="9"/>
    <x v="0"/>
    <x v="0"/>
    <n v="118255"/>
    <n v="245889"/>
    <x v="83"/>
    <n v="0.97"/>
    <n v="6.29"/>
    <n v="1.2"/>
    <n v="6"/>
    <x v="437"/>
    <n v="126414595"/>
    <x v="594"/>
  </r>
  <r>
    <x v="9"/>
    <x v="2"/>
    <x v="4"/>
    <x v="3"/>
    <x v="1"/>
    <x v="0"/>
    <n v="108717"/>
    <n v="115184"/>
    <x v="218"/>
    <n v="0.97"/>
    <n v="6.29"/>
    <n v="1.2"/>
    <n v="4"/>
    <x v="132"/>
    <n v="57620010"/>
    <x v="595"/>
  </r>
  <r>
    <x v="7"/>
    <x v="5"/>
    <x v="6"/>
    <x v="2"/>
    <x v="1"/>
    <x v="1"/>
    <n v="79066"/>
    <n v="260765"/>
    <x v="294"/>
    <n v="0.97"/>
    <n v="6.29"/>
    <n v="1.2"/>
    <n v="2"/>
    <x v="438"/>
    <n v="46411742"/>
    <x v="596"/>
  </r>
  <r>
    <x v="9"/>
    <x v="8"/>
    <x v="5"/>
    <x v="8"/>
    <x v="0"/>
    <x v="1"/>
    <n v="96826"/>
    <n v="87879"/>
    <x v="261"/>
    <n v="0.97"/>
    <n v="6.29"/>
    <n v="1.2"/>
    <n v="1"/>
    <x v="414"/>
    <n v="87627530"/>
    <x v="597"/>
  </r>
  <r>
    <x v="8"/>
    <x v="4"/>
    <x v="8"/>
    <x v="4"/>
    <x v="0"/>
    <x v="0"/>
    <n v="55213"/>
    <n v="361741"/>
    <x v="71"/>
    <n v="0.97"/>
    <n v="6.29"/>
    <n v="1.2"/>
    <n v="1"/>
    <x v="379"/>
    <n v="39587721"/>
    <x v="598"/>
  </r>
  <r>
    <x v="8"/>
    <x v="4"/>
    <x v="5"/>
    <x v="5"/>
    <x v="0"/>
    <x v="1"/>
    <n v="106916"/>
    <n v="482348"/>
    <x v="63"/>
    <n v="0.97"/>
    <n v="6.29"/>
    <n v="1.2"/>
    <n v="8"/>
    <x v="136"/>
    <n v="43621728"/>
    <x v="599"/>
  </r>
  <r>
    <x v="3"/>
    <x v="4"/>
    <x v="8"/>
    <x v="8"/>
    <x v="0"/>
    <x v="0"/>
    <n v="101151"/>
    <n v="53626"/>
    <x v="270"/>
    <n v="0.97"/>
    <n v="6.29"/>
    <n v="1.2"/>
    <n v="4"/>
    <x v="439"/>
    <n v="98723376"/>
    <x v="600"/>
  </r>
  <r>
    <x v="6"/>
    <x v="11"/>
    <x v="0"/>
    <x v="3"/>
    <x v="1"/>
    <x v="3"/>
    <n v="85906"/>
    <n v="135936"/>
    <x v="45"/>
    <n v="0.97"/>
    <n v="6.29"/>
    <n v="1.2"/>
    <n v="5"/>
    <x v="440"/>
    <n v="68896612"/>
    <x v="601"/>
  </r>
  <r>
    <x v="6"/>
    <x v="4"/>
    <x v="9"/>
    <x v="6"/>
    <x v="1"/>
    <x v="1"/>
    <n v="35463"/>
    <n v="284873"/>
    <x v="277"/>
    <n v="0.97"/>
    <n v="6.29"/>
    <n v="1.2"/>
    <n v="8"/>
    <x v="17"/>
    <n v="22838172"/>
    <x v="602"/>
  </r>
  <r>
    <x v="5"/>
    <x v="3"/>
    <x v="5"/>
    <x v="5"/>
    <x v="0"/>
    <x v="1"/>
    <n v="66973"/>
    <n v="131515"/>
    <x v="261"/>
    <n v="0.97"/>
    <n v="6.29"/>
    <n v="1.2"/>
    <n v="7"/>
    <x v="433"/>
    <n v="49359101"/>
    <x v="603"/>
  </r>
  <r>
    <x v="0"/>
    <x v="0"/>
    <x v="6"/>
    <x v="9"/>
    <x v="0"/>
    <x v="1"/>
    <n v="109694"/>
    <n v="258137"/>
    <x v="295"/>
    <n v="0.97"/>
    <n v="6.29"/>
    <n v="1.2"/>
    <n v="8"/>
    <x v="441"/>
    <n v="44974540"/>
    <x v="604"/>
  </r>
  <r>
    <x v="9"/>
    <x v="2"/>
    <x v="8"/>
    <x v="5"/>
    <x v="0"/>
    <x v="3"/>
    <n v="55651"/>
    <n v="105390"/>
    <x v="296"/>
    <n v="0.97"/>
    <n v="6.29"/>
    <n v="1.2"/>
    <n v="8"/>
    <x v="176"/>
    <n v="28437661"/>
    <x v="605"/>
  </r>
  <r>
    <x v="4"/>
    <x v="8"/>
    <x v="3"/>
    <x v="0"/>
    <x v="0"/>
    <x v="0"/>
    <n v="103694"/>
    <n v="459861"/>
    <x v="127"/>
    <n v="0.97"/>
    <n v="6.29"/>
    <n v="1.2"/>
    <n v="6"/>
    <x v="158"/>
    <n v="54646738"/>
    <x v="606"/>
  </r>
  <r>
    <x v="2"/>
    <x v="0"/>
    <x v="2"/>
    <x v="3"/>
    <x v="1"/>
    <x v="2"/>
    <n v="55008"/>
    <n v="273032"/>
    <x v="152"/>
    <n v="0.97"/>
    <n v="6.29"/>
    <n v="1.2"/>
    <n v="10"/>
    <x v="294"/>
    <n v="28659168"/>
    <x v="607"/>
  </r>
  <r>
    <x v="6"/>
    <x v="6"/>
    <x v="3"/>
    <x v="8"/>
    <x v="0"/>
    <x v="1"/>
    <n v="105474"/>
    <n v="104144"/>
    <x v="54"/>
    <n v="0.97"/>
    <n v="6.29"/>
    <n v="1.2"/>
    <n v="2"/>
    <x v="251"/>
    <n v="37443270"/>
    <x v="608"/>
  </r>
  <r>
    <x v="2"/>
    <x v="8"/>
    <x v="1"/>
    <x v="0"/>
    <x v="0"/>
    <x v="0"/>
    <n v="73185"/>
    <n v="194454"/>
    <x v="14"/>
    <n v="0.97"/>
    <n v="6.29"/>
    <n v="1.2"/>
    <n v="6"/>
    <x v="374"/>
    <n v="29713110"/>
    <x v="609"/>
  </r>
  <r>
    <x v="3"/>
    <x v="0"/>
    <x v="9"/>
    <x v="5"/>
    <x v="0"/>
    <x v="3"/>
    <n v="109417"/>
    <n v="54025"/>
    <x v="297"/>
    <n v="0.97"/>
    <n v="6.29"/>
    <n v="1.2"/>
    <n v="1"/>
    <x v="442"/>
    <n v="27354250"/>
    <x v="610"/>
  </r>
  <r>
    <x v="2"/>
    <x v="8"/>
    <x v="9"/>
    <x v="0"/>
    <x v="0"/>
    <x v="2"/>
    <n v="106139"/>
    <n v="486442"/>
    <x v="44"/>
    <n v="0.97"/>
    <n v="6.29"/>
    <n v="1.2"/>
    <n v="1"/>
    <x v="214"/>
    <n v="43198573"/>
    <x v="611"/>
  </r>
  <r>
    <x v="4"/>
    <x v="6"/>
    <x v="3"/>
    <x v="7"/>
    <x v="1"/>
    <x v="1"/>
    <n v="69980"/>
    <n v="391524"/>
    <x v="71"/>
    <n v="0.97"/>
    <n v="6.29"/>
    <n v="1.2"/>
    <n v="3"/>
    <x v="443"/>
    <n v="63961720"/>
    <x v="612"/>
  </r>
  <r>
    <x v="1"/>
    <x v="1"/>
    <x v="4"/>
    <x v="3"/>
    <x v="1"/>
    <x v="3"/>
    <n v="57504"/>
    <n v="304043"/>
    <x v="219"/>
    <n v="0.97"/>
    <n v="6.29"/>
    <n v="1.2"/>
    <n v="3"/>
    <x v="444"/>
    <n v="22254048"/>
    <x v="613"/>
  </r>
  <r>
    <x v="4"/>
    <x v="3"/>
    <x v="0"/>
    <x v="1"/>
    <x v="1"/>
    <x v="3"/>
    <n v="89970"/>
    <n v="168910"/>
    <x v="171"/>
    <n v="0.97"/>
    <n v="6.29"/>
    <n v="1.2"/>
    <n v="5"/>
    <x v="415"/>
    <n v="71796060"/>
    <x v="614"/>
  </r>
  <r>
    <x v="2"/>
    <x v="11"/>
    <x v="5"/>
    <x v="6"/>
    <x v="1"/>
    <x v="2"/>
    <n v="51766"/>
    <n v="146055"/>
    <x v="183"/>
    <n v="0.97"/>
    <n v="6.29"/>
    <n v="1.2"/>
    <n v="1"/>
    <x v="254"/>
    <n v="53163682"/>
    <x v="615"/>
  </r>
  <r>
    <x v="4"/>
    <x v="11"/>
    <x v="6"/>
    <x v="5"/>
    <x v="0"/>
    <x v="0"/>
    <n v="46695"/>
    <n v="438333"/>
    <x v="252"/>
    <n v="0.97"/>
    <n v="6.29"/>
    <n v="1.2"/>
    <n v="10"/>
    <x v="445"/>
    <n v="14662230"/>
    <x v="616"/>
  </r>
  <r>
    <x v="7"/>
    <x v="2"/>
    <x v="9"/>
    <x v="3"/>
    <x v="1"/>
    <x v="1"/>
    <n v="52796"/>
    <n v="255782"/>
    <x v="160"/>
    <n v="0.97"/>
    <n v="6.29"/>
    <n v="1.2"/>
    <n v="6"/>
    <x v="338"/>
    <n v="50314588"/>
    <x v="617"/>
  </r>
  <r>
    <x v="3"/>
    <x v="4"/>
    <x v="3"/>
    <x v="1"/>
    <x v="1"/>
    <x v="1"/>
    <n v="77543"/>
    <n v="446659"/>
    <x v="298"/>
    <n v="0.97"/>
    <n v="6.29"/>
    <n v="1.2"/>
    <n v="7"/>
    <x v="446"/>
    <n v="61801771"/>
    <x v="618"/>
  </r>
  <r>
    <x v="9"/>
    <x v="3"/>
    <x v="3"/>
    <x v="1"/>
    <x v="1"/>
    <x v="0"/>
    <n v="49559"/>
    <n v="333539"/>
    <x v="101"/>
    <n v="0.97"/>
    <n v="6.29"/>
    <n v="1.2"/>
    <n v="10"/>
    <x v="419"/>
    <n v="33105412"/>
    <x v="619"/>
  </r>
  <r>
    <x v="1"/>
    <x v="9"/>
    <x v="0"/>
    <x v="4"/>
    <x v="0"/>
    <x v="0"/>
    <n v="68139"/>
    <n v="322869"/>
    <x v="161"/>
    <n v="0.97"/>
    <n v="6.29"/>
    <n v="1.2"/>
    <n v="3"/>
    <x v="447"/>
    <n v="31275801"/>
    <x v="620"/>
  </r>
  <r>
    <x v="6"/>
    <x v="4"/>
    <x v="0"/>
    <x v="0"/>
    <x v="0"/>
    <x v="0"/>
    <n v="43802"/>
    <n v="83461"/>
    <x v="60"/>
    <n v="0.97"/>
    <n v="6.29"/>
    <n v="1.2"/>
    <n v="4"/>
    <x v="448"/>
    <n v="27901874"/>
    <x v="621"/>
  </r>
  <r>
    <x v="8"/>
    <x v="2"/>
    <x v="7"/>
    <x v="1"/>
    <x v="1"/>
    <x v="2"/>
    <n v="108843"/>
    <n v="308072"/>
    <x v="202"/>
    <n v="0.97"/>
    <n v="6.29"/>
    <n v="1.2"/>
    <n v="10"/>
    <x v="86"/>
    <n v="89468946"/>
    <x v="622"/>
  </r>
  <r>
    <x v="9"/>
    <x v="10"/>
    <x v="7"/>
    <x v="7"/>
    <x v="1"/>
    <x v="2"/>
    <n v="75205"/>
    <n v="91115"/>
    <x v="295"/>
    <n v="0.97"/>
    <n v="6.29"/>
    <n v="1.2"/>
    <n v="10"/>
    <x v="427"/>
    <n v="23238345"/>
    <x v="623"/>
  </r>
  <r>
    <x v="8"/>
    <x v="3"/>
    <x v="4"/>
    <x v="3"/>
    <x v="1"/>
    <x v="1"/>
    <n v="69159"/>
    <n v="160084"/>
    <x v="22"/>
    <n v="0.97"/>
    <n v="6.29"/>
    <n v="1.2"/>
    <n v="10"/>
    <x v="449"/>
    <n v="68744046"/>
    <x v="624"/>
  </r>
  <r>
    <x v="3"/>
    <x v="0"/>
    <x v="4"/>
    <x v="2"/>
    <x v="1"/>
    <x v="2"/>
    <n v="46516"/>
    <n v="395876"/>
    <x v="111"/>
    <n v="0.97"/>
    <n v="6.29"/>
    <n v="1.2"/>
    <n v="10"/>
    <x v="450"/>
    <n v="23071936"/>
    <x v="625"/>
  </r>
  <r>
    <x v="1"/>
    <x v="8"/>
    <x v="1"/>
    <x v="2"/>
    <x v="1"/>
    <x v="3"/>
    <n v="85492"/>
    <n v="391701"/>
    <x v="44"/>
    <n v="0.97"/>
    <n v="6.29"/>
    <n v="1.2"/>
    <n v="10"/>
    <x v="451"/>
    <n v="30264168"/>
    <x v="626"/>
  </r>
  <r>
    <x v="5"/>
    <x v="9"/>
    <x v="4"/>
    <x v="5"/>
    <x v="0"/>
    <x v="1"/>
    <n v="64086"/>
    <n v="383404"/>
    <x v="233"/>
    <n v="0.97"/>
    <n v="6.29"/>
    <n v="1.2"/>
    <n v="3"/>
    <x v="428"/>
    <n v="24416766"/>
    <x v="627"/>
  </r>
  <r>
    <x v="6"/>
    <x v="3"/>
    <x v="8"/>
    <x v="9"/>
    <x v="0"/>
    <x v="2"/>
    <n v="65480"/>
    <n v="209762"/>
    <x v="299"/>
    <n v="0.97"/>
    <n v="6.29"/>
    <n v="1.2"/>
    <n v="1"/>
    <x v="452"/>
    <n v="64432320"/>
    <x v="628"/>
  </r>
  <r>
    <x v="7"/>
    <x v="6"/>
    <x v="0"/>
    <x v="0"/>
    <x v="0"/>
    <x v="0"/>
    <n v="87091"/>
    <n v="313551"/>
    <x v="33"/>
    <n v="0.97"/>
    <n v="6.29"/>
    <n v="1.2"/>
    <n v="8"/>
    <x v="453"/>
    <n v="72198439"/>
    <x v="629"/>
  </r>
  <r>
    <x v="5"/>
    <x v="10"/>
    <x v="6"/>
    <x v="9"/>
    <x v="0"/>
    <x v="3"/>
    <n v="82766"/>
    <n v="123568"/>
    <x v="147"/>
    <n v="0.97"/>
    <n v="6.29"/>
    <n v="1.2"/>
    <n v="10"/>
    <x v="454"/>
    <n v="8773196"/>
    <x v="630"/>
  </r>
  <r>
    <x v="3"/>
    <x v="6"/>
    <x v="8"/>
    <x v="1"/>
    <x v="1"/>
    <x v="0"/>
    <n v="73737"/>
    <n v="108560"/>
    <x v="181"/>
    <n v="0.97"/>
    <n v="6.29"/>
    <n v="1.2"/>
    <n v="10"/>
    <x v="455"/>
    <n v="53090640"/>
    <x v="631"/>
  </r>
  <r>
    <x v="9"/>
    <x v="11"/>
    <x v="5"/>
    <x v="3"/>
    <x v="1"/>
    <x v="1"/>
    <n v="44265"/>
    <n v="490556"/>
    <x v="101"/>
    <n v="0.97"/>
    <n v="6.29"/>
    <n v="1.2"/>
    <n v="2"/>
    <x v="456"/>
    <n v="36961275"/>
    <x v="632"/>
  </r>
  <r>
    <x v="7"/>
    <x v="11"/>
    <x v="3"/>
    <x v="5"/>
    <x v="0"/>
    <x v="0"/>
    <n v="105990"/>
    <n v="198866"/>
    <x v="153"/>
    <n v="0.97"/>
    <n v="6.29"/>
    <n v="1.2"/>
    <n v="1"/>
    <x v="457"/>
    <n v="108533760"/>
    <x v="633"/>
  </r>
  <r>
    <x v="4"/>
    <x v="4"/>
    <x v="4"/>
    <x v="8"/>
    <x v="0"/>
    <x v="2"/>
    <n v="50386"/>
    <n v="200953"/>
    <x v="294"/>
    <n v="0.97"/>
    <n v="6.29"/>
    <n v="1.2"/>
    <n v="8"/>
    <x v="170"/>
    <n v="41064590"/>
    <x v="634"/>
  </r>
  <r>
    <x v="2"/>
    <x v="0"/>
    <x v="3"/>
    <x v="1"/>
    <x v="1"/>
    <x v="2"/>
    <n v="72425"/>
    <n v="267364"/>
    <x v="300"/>
    <n v="0.97"/>
    <n v="6.29"/>
    <n v="1.2"/>
    <n v="7"/>
    <x v="310"/>
    <n v="52073575"/>
    <x v="635"/>
  </r>
  <r>
    <x v="7"/>
    <x v="9"/>
    <x v="9"/>
    <x v="0"/>
    <x v="0"/>
    <x v="1"/>
    <n v="78254"/>
    <n v="286770"/>
    <x v="35"/>
    <n v="0.97"/>
    <n v="6.29"/>
    <n v="1.2"/>
    <n v="7"/>
    <x v="458"/>
    <n v="29501758"/>
    <x v="636"/>
  </r>
  <r>
    <x v="3"/>
    <x v="7"/>
    <x v="1"/>
    <x v="2"/>
    <x v="1"/>
    <x v="0"/>
    <n v="88634"/>
    <n v="276024"/>
    <x v="175"/>
    <n v="0.97"/>
    <n v="6.29"/>
    <n v="1.2"/>
    <n v="4"/>
    <x v="459"/>
    <n v="58764342"/>
    <x v="637"/>
  </r>
  <r>
    <x v="0"/>
    <x v="10"/>
    <x v="9"/>
    <x v="4"/>
    <x v="0"/>
    <x v="1"/>
    <n v="82662"/>
    <n v="230775"/>
    <x v="75"/>
    <n v="0.97"/>
    <n v="6.29"/>
    <n v="1.2"/>
    <n v="9"/>
    <x v="421"/>
    <n v="52986342"/>
    <x v="638"/>
  </r>
  <r>
    <x v="2"/>
    <x v="10"/>
    <x v="1"/>
    <x v="3"/>
    <x v="1"/>
    <x v="0"/>
    <n v="110452"/>
    <n v="487570"/>
    <x v="301"/>
    <n v="0.97"/>
    <n v="6.29"/>
    <n v="1.2"/>
    <n v="6"/>
    <x v="460"/>
    <n v="45837580"/>
    <x v="639"/>
  </r>
  <r>
    <x v="8"/>
    <x v="3"/>
    <x v="7"/>
    <x v="6"/>
    <x v="1"/>
    <x v="3"/>
    <n v="45143"/>
    <n v="141288"/>
    <x v="145"/>
    <n v="0.97"/>
    <n v="6.29"/>
    <n v="1.2"/>
    <n v="2"/>
    <x v="62"/>
    <n v="29388093"/>
    <x v="640"/>
  </r>
  <r>
    <x v="6"/>
    <x v="4"/>
    <x v="3"/>
    <x v="9"/>
    <x v="0"/>
    <x v="2"/>
    <n v="50581"/>
    <n v="431164"/>
    <x v="105"/>
    <n v="0.97"/>
    <n v="6.29"/>
    <n v="1.2"/>
    <n v="1"/>
    <x v="461"/>
    <n v="44359537"/>
    <x v="641"/>
  </r>
  <r>
    <x v="8"/>
    <x v="11"/>
    <x v="1"/>
    <x v="5"/>
    <x v="0"/>
    <x v="1"/>
    <n v="102443"/>
    <n v="411445"/>
    <x v="107"/>
    <n v="0.97"/>
    <n v="6.29"/>
    <n v="1.2"/>
    <n v="1"/>
    <x v="271"/>
    <n v="54602119"/>
    <x v="642"/>
  </r>
  <r>
    <x v="7"/>
    <x v="4"/>
    <x v="2"/>
    <x v="9"/>
    <x v="0"/>
    <x v="3"/>
    <n v="64424"/>
    <n v="299836"/>
    <x v="124"/>
    <n v="0.97"/>
    <n v="6.29"/>
    <n v="1.2"/>
    <n v="9"/>
    <x v="462"/>
    <n v="29377344"/>
    <x v="643"/>
  </r>
  <r>
    <x v="8"/>
    <x v="8"/>
    <x v="8"/>
    <x v="3"/>
    <x v="1"/>
    <x v="3"/>
    <n v="76984"/>
    <n v="64390"/>
    <x v="118"/>
    <n v="0.97"/>
    <n v="6.29"/>
    <n v="1.2"/>
    <n v="4"/>
    <x v="463"/>
    <n v="62664976"/>
    <x v="644"/>
  </r>
  <r>
    <x v="3"/>
    <x v="3"/>
    <x v="1"/>
    <x v="9"/>
    <x v="0"/>
    <x v="1"/>
    <n v="76505"/>
    <n v="268547"/>
    <x v="136"/>
    <n v="0.97"/>
    <n v="6.29"/>
    <n v="1.2"/>
    <n v="5"/>
    <x v="464"/>
    <n v="42613285"/>
    <x v="645"/>
  </r>
  <r>
    <x v="4"/>
    <x v="3"/>
    <x v="1"/>
    <x v="3"/>
    <x v="1"/>
    <x v="1"/>
    <n v="97699"/>
    <n v="77307"/>
    <x v="278"/>
    <n v="0.97"/>
    <n v="6.29"/>
    <n v="1.2"/>
    <n v="3"/>
    <x v="3"/>
    <n v="71320270"/>
    <x v="646"/>
  </r>
  <r>
    <x v="9"/>
    <x v="9"/>
    <x v="8"/>
    <x v="9"/>
    <x v="0"/>
    <x v="3"/>
    <n v="61957"/>
    <n v="277436"/>
    <x v="44"/>
    <n v="0.97"/>
    <n v="6.29"/>
    <n v="1.2"/>
    <n v="4"/>
    <x v="208"/>
    <n v="34076350"/>
    <x v="647"/>
  </r>
  <r>
    <x v="6"/>
    <x v="0"/>
    <x v="3"/>
    <x v="7"/>
    <x v="1"/>
    <x v="0"/>
    <n v="60464"/>
    <n v="275121"/>
    <x v="302"/>
    <n v="0.97"/>
    <n v="6.29"/>
    <n v="1.2"/>
    <n v="8"/>
    <x v="465"/>
    <n v="50910688"/>
    <x v="648"/>
  </r>
  <r>
    <x v="8"/>
    <x v="2"/>
    <x v="3"/>
    <x v="8"/>
    <x v="0"/>
    <x v="3"/>
    <n v="58649"/>
    <n v="301063"/>
    <x v="303"/>
    <n v="0.97"/>
    <n v="6.29"/>
    <n v="1.2"/>
    <n v="4"/>
    <x v="466"/>
    <n v="62813079"/>
    <x v="649"/>
  </r>
  <r>
    <x v="8"/>
    <x v="1"/>
    <x v="8"/>
    <x v="1"/>
    <x v="1"/>
    <x v="1"/>
    <n v="77065"/>
    <n v="74502"/>
    <x v="256"/>
    <n v="0.97"/>
    <n v="6.29"/>
    <n v="1.2"/>
    <n v="9"/>
    <x v="381"/>
    <n v="71593385"/>
    <x v="650"/>
  </r>
  <r>
    <x v="7"/>
    <x v="2"/>
    <x v="9"/>
    <x v="1"/>
    <x v="1"/>
    <x v="3"/>
    <n v="69758"/>
    <n v="72486"/>
    <x v="65"/>
    <n v="0.97"/>
    <n v="6.29"/>
    <n v="1.2"/>
    <n v="9"/>
    <x v="317"/>
    <n v="68153566"/>
    <x v="651"/>
  </r>
  <r>
    <x v="9"/>
    <x v="5"/>
    <x v="2"/>
    <x v="0"/>
    <x v="0"/>
    <x v="0"/>
    <n v="40596"/>
    <n v="423957"/>
    <x v="304"/>
    <n v="0.97"/>
    <n v="6.29"/>
    <n v="1.2"/>
    <n v="6"/>
    <x v="133"/>
    <n v="40149444"/>
    <x v="652"/>
  </r>
  <r>
    <x v="5"/>
    <x v="5"/>
    <x v="6"/>
    <x v="6"/>
    <x v="1"/>
    <x v="2"/>
    <n v="51374"/>
    <n v="219330"/>
    <x v="305"/>
    <n v="0.97"/>
    <n v="6.29"/>
    <n v="1.2"/>
    <n v="2"/>
    <x v="290"/>
    <n v="56305904"/>
    <x v="653"/>
  </r>
  <r>
    <x v="8"/>
    <x v="3"/>
    <x v="5"/>
    <x v="6"/>
    <x v="1"/>
    <x v="2"/>
    <n v="38775"/>
    <n v="238788"/>
    <x v="261"/>
    <n v="0.97"/>
    <n v="6.29"/>
    <n v="1.2"/>
    <n v="10"/>
    <x v="456"/>
    <n v="32377125"/>
    <x v="654"/>
  </r>
  <r>
    <x v="3"/>
    <x v="4"/>
    <x v="2"/>
    <x v="0"/>
    <x v="0"/>
    <x v="3"/>
    <n v="62388"/>
    <n v="278300"/>
    <x v="88"/>
    <n v="0.97"/>
    <n v="6.29"/>
    <n v="1.2"/>
    <n v="7"/>
    <x v="330"/>
    <n v="55275768"/>
    <x v="655"/>
  </r>
  <r>
    <x v="0"/>
    <x v="8"/>
    <x v="3"/>
    <x v="4"/>
    <x v="0"/>
    <x v="0"/>
    <n v="56029"/>
    <n v="153920"/>
    <x v="306"/>
    <n v="0.97"/>
    <n v="6.29"/>
    <n v="1.2"/>
    <n v="9"/>
    <x v="467"/>
    <n v="38211778"/>
    <x v="656"/>
  </r>
  <r>
    <x v="6"/>
    <x v="9"/>
    <x v="6"/>
    <x v="1"/>
    <x v="1"/>
    <x v="2"/>
    <n v="118981"/>
    <n v="262566"/>
    <x v="0"/>
    <n v="0.97"/>
    <n v="6.29"/>
    <n v="1.2"/>
    <n v="6"/>
    <x v="107"/>
    <n v="74006182"/>
    <x v="657"/>
  </r>
  <r>
    <x v="8"/>
    <x v="7"/>
    <x v="7"/>
    <x v="4"/>
    <x v="0"/>
    <x v="3"/>
    <n v="88639"/>
    <n v="394912"/>
    <x v="104"/>
    <n v="0.97"/>
    <n v="6.29"/>
    <n v="1.2"/>
    <n v="3"/>
    <x v="468"/>
    <n v="42723998"/>
    <x v="658"/>
  </r>
  <r>
    <x v="3"/>
    <x v="5"/>
    <x v="4"/>
    <x v="3"/>
    <x v="1"/>
    <x v="3"/>
    <n v="49645"/>
    <n v="453964"/>
    <x v="125"/>
    <n v="0.97"/>
    <n v="6.29"/>
    <n v="1.2"/>
    <n v="7"/>
    <x v="469"/>
    <n v="36687655"/>
    <x v="659"/>
  </r>
  <r>
    <x v="3"/>
    <x v="9"/>
    <x v="1"/>
    <x v="3"/>
    <x v="1"/>
    <x v="0"/>
    <n v="66105"/>
    <n v="112785"/>
    <x v="305"/>
    <n v="0.97"/>
    <n v="6.29"/>
    <n v="1.2"/>
    <n v="5"/>
    <x v="470"/>
    <n v="70203510"/>
    <x v="660"/>
  </r>
  <r>
    <x v="6"/>
    <x v="3"/>
    <x v="8"/>
    <x v="2"/>
    <x v="1"/>
    <x v="1"/>
    <n v="48668"/>
    <n v="126050"/>
    <x v="150"/>
    <n v="0.97"/>
    <n v="6.29"/>
    <n v="1.2"/>
    <n v="1"/>
    <x v="471"/>
    <n v="48424660"/>
    <x v="661"/>
  </r>
  <r>
    <x v="5"/>
    <x v="0"/>
    <x v="8"/>
    <x v="9"/>
    <x v="0"/>
    <x v="3"/>
    <n v="50960"/>
    <n v="72738"/>
    <x v="226"/>
    <n v="0.97"/>
    <n v="6.29"/>
    <n v="1.2"/>
    <n v="3"/>
    <x v="412"/>
    <n v="38678640"/>
    <x v="662"/>
  </r>
  <r>
    <x v="3"/>
    <x v="6"/>
    <x v="1"/>
    <x v="6"/>
    <x v="1"/>
    <x v="1"/>
    <n v="46357"/>
    <n v="124231"/>
    <x v="307"/>
    <n v="0.97"/>
    <n v="6.29"/>
    <n v="1.2"/>
    <n v="5"/>
    <x v="472"/>
    <n v="41489515"/>
    <x v="663"/>
  </r>
  <r>
    <x v="0"/>
    <x v="2"/>
    <x v="4"/>
    <x v="2"/>
    <x v="1"/>
    <x v="1"/>
    <n v="99604"/>
    <n v="123606"/>
    <x v="262"/>
    <n v="0.97"/>
    <n v="6.29"/>
    <n v="1.2"/>
    <n v="7"/>
    <x v="473"/>
    <n v="75101416"/>
    <x v="664"/>
  </r>
  <r>
    <x v="3"/>
    <x v="8"/>
    <x v="5"/>
    <x v="8"/>
    <x v="0"/>
    <x v="2"/>
    <n v="86796"/>
    <n v="353806"/>
    <x v="266"/>
    <n v="0.97"/>
    <n v="6.29"/>
    <n v="1.2"/>
    <n v="3"/>
    <x v="134"/>
    <n v="17619588"/>
    <x v="665"/>
  </r>
  <r>
    <x v="3"/>
    <x v="11"/>
    <x v="4"/>
    <x v="0"/>
    <x v="0"/>
    <x v="1"/>
    <n v="50804"/>
    <n v="430457"/>
    <x v="202"/>
    <n v="0.97"/>
    <n v="6.29"/>
    <n v="1.2"/>
    <n v="6"/>
    <x v="474"/>
    <n v="60609172"/>
    <x v="666"/>
  </r>
  <r>
    <x v="3"/>
    <x v="9"/>
    <x v="6"/>
    <x v="0"/>
    <x v="0"/>
    <x v="0"/>
    <n v="49626"/>
    <n v="277369"/>
    <x v="173"/>
    <n v="0.97"/>
    <n v="6.29"/>
    <n v="1.2"/>
    <n v="5"/>
    <x v="475"/>
    <n v="11215476"/>
    <x v="667"/>
  </r>
  <r>
    <x v="4"/>
    <x v="0"/>
    <x v="4"/>
    <x v="3"/>
    <x v="1"/>
    <x v="2"/>
    <n v="63132"/>
    <n v="327267"/>
    <x v="308"/>
    <n v="0.97"/>
    <n v="6.29"/>
    <n v="1.2"/>
    <n v="1"/>
    <x v="398"/>
    <n v="16856244"/>
    <x v="668"/>
  </r>
  <r>
    <x v="4"/>
    <x v="7"/>
    <x v="6"/>
    <x v="1"/>
    <x v="1"/>
    <x v="2"/>
    <n v="42951"/>
    <n v="206688"/>
    <x v="309"/>
    <n v="0.97"/>
    <n v="6.29"/>
    <n v="1.2"/>
    <n v="10"/>
    <x v="293"/>
    <n v="20401725"/>
    <x v="669"/>
  </r>
  <r>
    <x v="5"/>
    <x v="1"/>
    <x v="4"/>
    <x v="4"/>
    <x v="0"/>
    <x v="2"/>
    <n v="41449"/>
    <n v="323326"/>
    <x v="307"/>
    <n v="0.97"/>
    <n v="6.29"/>
    <n v="1.2"/>
    <n v="6"/>
    <x v="476"/>
    <n v="46381431"/>
    <x v="670"/>
  </r>
  <r>
    <x v="8"/>
    <x v="2"/>
    <x v="5"/>
    <x v="6"/>
    <x v="1"/>
    <x v="3"/>
    <n v="54065"/>
    <n v="402513"/>
    <x v="310"/>
    <n v="0.97"/>
    <n v="6.29"/>
    <n v="1.2"/>
    <n v="8"/>
    <x v="477"/>
    <n v="38548345"/>
    <x v="671"/>
  </r>
  <r>
    <x v="3"/>
    <x v="11"/>
    <x v="5"/>
    <x v="2"/>
    <x v="1"/>
    <x v="3"/>
    <n v="44130"/>
    <n v="212403"/>
    <x v="209"/>
    <n v="0.97"/>
    <n v="6.29"/>
    <n v="1.2"/>
    <n v="1"/>
    <x v="174"/>
    <n v="32832720"/>
    <x v="672"/>
  </r>
  <r>
    <x v="9"/>
    <x v="2"/>
    <x v="3"/>
    <x v="4"/>
    <x v="0"/>
    <x v="1"/>
    <n v="97287"/>
    <n v="227170"/>
    <x v="85"/>
    <n v="0.97"/>
    <n v="6.29"/>
    <n v="1.2"/>
    <n v="2"/>
    <x v="478"/>
    <n v="93687381"/>
    <x v="673"/>
  </r>
  <r>
    <x v="8"/>
    <x v="3"/>
    <x v="1"/>
    <x v="2"/>
    <x v="1"/>
    <x v="2"/>
    <n v="86702"/>
    <n v="76128"/>
    <x v="80"/>
    <n v="0.97"/>
    <n v="6.29"/>
    <n v="1.2"/>
    <n v="4"/>
    <x v="479"/>
    <n v="26357408"/>
    <x v="674"/>
  </r>
  <r>
    <x v="5"/>
    <x v="1"/>
    <x v="5"/>
    <x v="9"/>
    <x v="0"/>
    <x v="2"/>
    <n v="71993"/>
    <n v="81556"/>
    <x v="16"/>
    <n v="0.97"/>
    <n v="6.29"/>
    <n v="1.2"/>
    <n v="2"/>
    <x v="480"/>
    <n v="55146638"/>
    <x v="675"/>
  </r>
  <r>
    <x v="1"/>
    <x v="2"/>
    <x v="6"/>
    <x v="8"/>
    <x v="0"/>
    <x v="0"/>
    <n v="66875"/>
    <n v="308470"/>
    <x v="158"/>
    <n v="0.97"/>
    <n v="6.29"/>
    <n v="1.2"/>
    <n v="9"/>
    <x v="481"/>
    <n v="29023750"/>
    <x v="676"/>
  </r>
  <r>
    <x v="8"/>
    <x v="7"/>
    <x v="5"/>
    <x v="8"/>
    <x v="0"/>
    <x v="1"/>
    <n v="41054"/>
    <n v="202948"/>
    <x v="120"/>
    <n v="0.97"/>
    <n v="6.29"/>
    <n v="1.2"/>
    <n v="10"/>
    <x v="414"/>
    <n v="37153870"/>
    <x v="677"/>
  </r>
  <r>
    <x v="8"/>
    <x v="0"/>
    <x v="3"/>
    <x v="4"/>
    <x v="0"/>
    <x v="0"/>
    <n v="83517"/>
    <n v="190021"/>
    <x v="123"/>
    <n v="0.97"/>
    <n v="6.29"/>
    <n v="1.2"/>
    <n v="8"/>
    <x v="308"/>
    <n v="55288254"/>
    <x v="678"/>
  </r>
  <r>
    <x v="2"/>
    <x v="5"/>
    <x v="8"/>
    <x v="4"/>
    <x v="0"/>
    <x v="1"/>
    <n v="111368"/>
    <n v="101962"/>
    <x v="311"/>
    <n v="0.97"/>
    <n v="6.29"/>
    <n v="1.2"/>
    <n v="8"/>
    <x v="482"/>
    <n v="57131784"/>
    <x v="679"/>
  </r>
  <r>
    <x v="7"/>
    <x v="1"/>
    <x v="6"/>
    <x v="4"/>
    <x v="0"/>
    <x v="1"/>
    <n v="64670"/>
    <n v="140054"/>
    <x v="145"/>
    <n v="0.97"/>
    <n v="6.29"/>
    <n v="1.2"/>
    <n v="4"/>
    <x v="483"/>
    <n v="51736000"/>
    <x v="680"/>
  </r>
  <r>
    <x v="2"/>
    <x v="3"/>
    <x v="3"/>
    <x v="2"/>
    <x v="1"/>
    <x v="3"/>
    <n v="84112"/>
    <n v="252278"/>
    <x v="312"/>
    <n v="0.97"/>
    <n v="6.29"/>
    <n v="1.2"/>
    <n v="5"/>
    <x v="52"/>
    <n v="57112048"/>
    <x v="681"/>
  </r>
  <r>
    <x v="0"/>
    <x v="11"/>
    <x v="9"/>
    <x v="9"/>
    <x v="0"/>
    <x v="3"/>
    <n v="63307"/>
    <n v="74099"/>
    <x v="73"/>
    <n v="0.97"/>
    <n v="6.29"/>
    <n v="1.2"/>
    <n v="4"/>
    <x v="484"/>
    <n v="13990847"/>
    <x v="682"/>
  </r>
  <r>
    <x v="4"/>
    <x v="4"/>
    <x v="9"/>
    <x v="7"/>
    <x v="1"/>
    <x v="0"/>
    <n v="102087"/>
    <n v="285943"/>
    <x v="81"/>
    <n v="0.97"/>
    <n v="6.29"/>
    <n v="1.2"/>
    <n v="9"/>
    <x v="485"/>
    <n v="26134272"/>
    <x v="683"/>
  </r>
  <r>
    <x v="4"/>
    <x v="10"/>
    <x v="7"/>
    <x v="4"/>
    <x v="0"/>
    <x v="1"/>
    <n v="82922"/>
    <n v="455932"/>
    <x v="177"/>
    <n v="0.97"/>
    <n v="6.29"/>
    <n v="1.2"/>
    <n v="2"/>
    <x v="486"/>
    <n v="70732466"/>
    <x v="684"/>
  </r>
  <r>
    <x v="7"/>
    <x v="9"/>
    <x v="4"/>
    <x v="1"/>
    <x v="1"/>
    <x v="2"/>
    <n v="98080"/>
    <n v="233683"/>
    <x v="73"/>
    <n v="0.97"/>
    <n v="6.29"/>
    <n v="1.2"/>
    <n v="8"/>
    <x v="487"/>
    <n v="31091360"/>
    <x v="685"/>
  </r>
  <r>
    <x v="6"/>
    <x v="2"/>
    <x v="1"/>
    <x v="6"/>
    <x v="1"/>
    <x v="3"/>
    <n v="114335"/>
    <n v="219957"/>
    <x v="60"/>
    <n v="0.97"/>
    <n v="6.29"/>
    <n v="1.2"/>
    <n v="2"/>
    <x v="488"/>
    <n v="52708435"/>
    <x v="686"/>
  </r>
  <r>
    <x v="6"/>
    <x v="5"/>
    <x v="0"/>
    <x v="6"/>
    <x v="1"/>
    <x v="2"/>
    <n v="61312"/>
    <n v="365288"/>
    <x v="21"/>
    <n v="0.97"/>
    <n v="6.29"/>
    <n v="1.2"/>
    <n v="1"/>
    <x v="489"/>
    <n v="59104768"/>
    <x v="687"/>
  </r>
  <r>
    <x v="5"/>
    <x v="1"/>
    <x v="2"/>
    <x v="2"/>
    <x v="1"/>
    <x v="0"/>
    <n v="101985"/>
    <n v="246292"/>
    <x v="141"/>
    <n v="0.97"/>
    <n v="6.29"/>
    <n v="1.2"/>
    <n v="10"/>
    <x v="59"/>
    <n v="46199205"/>
    <x v="688"/>
  </r>
  <r>
    <x v="7"/>
    <x v="2"/>
    <x v="3"/>
    <x v="4"/>
    <x v="0"/>
    <x v="3"/>
    <n v="92608"/>
    <n v="57837"/>
    <x v="185"/>
    <n v="0.97"/>
    <n v="6.29"/>
    <n v="1.2"/>
    <n v="3"/>
    <x v="107"/>
    <n v="57602176"/>
    <x v="689"/>
  </r>
  <r>
    <x v="8"/>
    <x v="6"/>
    <x v="8"/>
    <x v="3"/>
    <x v="1"/>
    <x v="3"/>
    <n v="75277"/>
    <n v="230427"/>
    <x v="127"/>
    <n v="0.97"/>
    <n v="6.29"/>
    <n v="1.2"/>
    <n v="9"/>
    <x v="490"/>
    <n v="20701175"/>
    <x v="690"/>
  </r>
  <r>
    <x v="6"/>
    <x v="9"/>
    <x v="2"/>
    <x v="0"/>
    <x v="0"/>
    <x v="1"/>
    <n v="66551"/>
    <n v="228371"/>
    <x v="111"/>
    <n v="0.97"/>
    <n v="6.29"/>
    <n v="1.2"/>
    <n v="3"/>
    <x v="346"/>
    <n v="26620400"/>
    <x v="691"/>
  </r>
  <r>
    <x v="3"/>
    <x v="4"/>
    <x v="8"/>
    <x v="7"/>
    <x v="1"/>
    <x v="0"/>
    <n v="91597"/>
    <n v="462375"/>
    <x v="313"/>
    <n v="0.97"/>
    <n v="6.29"/>
    <n v="1.2"/>
    <n v="9"/>
    <x v="140"/>
    <n v="70438093"/>
    <x v="692"/>
  </r>
  <r>
    <x v="9"/>
    <x v="7"/>
    <x v="2"/>
    <x v="1"/>
    <x v="1"/>
    <x v="1"/>
    <n v="80212"/>
    <n v="437356"/>
    <x v="179"/>
    <n v="0.97"/>
    <n v="6.29"/>
    <n v="1.2"/>
    <n v="7"/>
    <x v="157"/>
    <n v="41630028"/>
    <x v="693"/>
  </r>
  <r>
    <x v="8"/>
    <x v="10"/>
    <x v="3"/>
    <x v="9"/>
    <x v="0"/>
    <x v="3"/>
    <n v="44637"/>
    <n v="428824"/>
    <x v="143"/>
    <n v="0.97"/>
    <n v="6.29"/>
    <n v="1.2"/>
    <n v="10"/>
    <x v="491"/>
    <n v="38432457"/>
    <x v="694"/>
  </r>
  <r>
    <x v="0"/>
    <x v="0"/>
    <x v="0"/>
    <x v="3"/>
    <x v="1"/>
    <x v="0"/>
    <n v="78258"/>
    <n v="298003"/>
    <x v="124"/>
    <n v="0.97"/>
    <n v="6.29"/>
    <n v="1.2"/>
    <n v="1"/>
    <x v="255"/>
    <n v="39520290"/>
    <x v="695"/>
  </r>
  <r>
    <x v="3"/>
    <x v="2"/>
    <x v="2"/>
    <x v="8"/>
    <x v="0"/>
    <x v="3"/>
    <n v="70693"/>
    <n v="418946"/>
    <x v="46"/>
    <n v="0.97"/>
    <n v="6.29"/>
    <n v="1.2"/>
    <n v="10"/>
    <x v="42"/>
    <n v="30327297"/>
    <x v="696"/>
  </r>
  <r>
    <x v="3"/>
    <x v="4"/>
    <x v="3"/>
    <x v="3"/>
    <x v="1"/>
    <x v="0"/>
    <n v="44824"/>
    <n v="152413"/>
    <x v="314"/>
    <n v="0.97"/>
    <n v="6.29"/>
    <n v="1.2"/>
    <n v="5"/>
    <x v="104"/>
    <n v="45137768"/>
    <x v="697"/>
  </r>
  <r>
    <x v="7"/>
    <x v="4"/>
    <x v="5"/>
    <x v="2"/>
    <x v="1"/>
    <x v="3"/>
    <n v="61950"/>
    <n v="101012"/>
    <x v="315"/>
    <n v="0.97"/>
    <n v="6.29"/>
    <n v="1.2"/>
    <n v="9"/>
    <x v="315"/>
    <n v="57675450"/>
    <x v="698"/>
  </r>
  <r>
    <x v="5"/>
    <x v="7"/>
    <x v="0"/>
    <x v="7"/>
    <x v="1"/>
    <x v="2"/>
    <n v="58488"/>
    <n v="180193"/>
    <x v="252"/>
    <n v="0.97"/>
    <n v="6.29"/>
    <n v="1.2"/>
    <n v="3"/>
    <x v="110"/>
    <n v="24915888"/>
    <x v="699"/>
  </r>
  <r>
    <x v="0"/>
    <x v="8"/>
    <x v="6"/>
    <x v="5"/>
    <x v="0"/>
    <x v="2"/>
    <n v="35215"/>
    <n v="268168"/>
    <x v="169"/>
    <n v="0.97"/>
    <n v="6.29"/>
    <n v="1.2"/>
    <n v="9"/>
    <x v="156"/>
    <n v="10141920"/>
    <x v="700"/>
  </r>
  <r>
    <x v="6"/>
    <x v="7"/>
    <x v="8"/>
    <x v="5"/>
    <x v="0"/>
    <x v="1"/>
    <n v="46523"/>
    <n v="198178"/>
    <x v="273"/>
    <n v="0.97"/>
    <n v="6.29"/>
    <n v="1.2"/>
    <n v="5"/>
    <x v="492"/>
    <n v="13863854"/>
    <x v="701"/>
  </r>
  <r>
    <x v="7"/>
    <x v="2"/>
    <x v="9"/>
    <x v="4"/>
    <x v="0"/>
    <x v="2"/>
    <n v="110900"/>
    <n v="108123"/>
    <x v="316"/>
    <n v="0.97"/>
    <n v="6.29"/>
    <n v="1.2"/>
    <n v="9"/>
    <x v="321"/>
    <n v="96261200"/>
    <x v="702"/>
  </r>
  <r>
    <x v="6"/>
    <x v="8"/>
    <x v="4"/>
    <x v="4"/>
    <x v="0"/>
    <x v="3"/>
    <n v="103689"/>
    <n v="161825"/>
    <x v="8"/>
    <n v="0.97"/>
    <n v="6.29"/>
    <n v="1.2"/>
    <n v="10"/>
    <x v="493"/>
    <n v="9539388"/>
    <x v="703"/>
  </r>
  <r>
    <x v="7"/>
    <x v="8"/>
    <x v="9"/>
    <x v="2"/>
    <x v="1"/>
    <x v="3"/>
    <n v="58834"/>
    <n v="58720"/>
    <x v="212"/>
    <n v="0.97"/>
    <n v="6.29"/>
    <n v="1.2"/>
    <n v="6"/>
    <x v="494"/>
    <n v="59187004"/>
    <x v="704"/>
  </r>
  <r>
    <x v="7"/>
    <x v="5"/>
    <x v="0"/>
    <x v="9"/>
    <x v="0"/>
    <x v="2"/>
    <n v="69474"/>
    <n v="218733"/>
    <x v="208"/>
    <n v="0.97"/>
    <n v="6.29"/>
    <n v="1.2"/>
    <n v="9"/>
    <x v="495"/>
    <n v="38071752"/>
    <x v="705"/>
  </r>
  <r>
    <x v="7"/>
    <x v="5"/>
    <x v="6"/>
    <x v="4"/>
    <x v="0"/>
    <x v="1"/>
    <n v="78066"/>
    <n v="296103"/>
    <x v="49"/>
    <n v="0.97"/>
    <n v="6.29"/>
    <n v="1.2"/>
    <n v="7"/>
    <x v="168"/>
    <n v="14598342"/>
    <x v="706"/>
  </r>
  <r>
    <x v="5"/>
    <x v="11"/>
    <x v="8"/>
    <x v="0"/>
    <x v="0"/>
    <x v="2"/>
    <n v="45400"/>
    <n v="274970"/>
    <x v="122"/>
    <n v="0.97"/>
    <n v="6.29"/>
    <n v="1.2"/>
    <n v="7"/>
    <x v="496"/>
    <n v="12984400"/>
    <x v="707"/>
  </r>
  <r>
    <x v="7"/>
    <x v="1"/>
    <x v="6"/>
    <x v="7"/>
    <x v="1"/>
    <x v="0"/>
    <n v="45345"/>
    <n v="274866"/>
    <x v="86"/>
    <n v="0.97"/>
    <n v="6.29"/>
    <n v="1.2"/>
    <n v="8"/>
    <x v="145"/>
    <n v="41536020"/>
    <x v="708"/>
  </r>
  <r>
    <x v="1"/>
    <x v="1"/>
    <x v="2"/>
    <x v="2"/>
    <x v="1"/>
    <x v="0"/>
    <n v="68896"/>
    <n v="464336"/>
    <x v="203"/>
    <n v="0.97"/>
    <n v="6.29"/>
    <n v="1.2"/>
    <n v="7"/>
    <x v="403"/>
    <n v="48778368"/>
    <x v="709"/>
  </r>
  <r>
    <x v="9"/>
    <x v="3"/>
    <x v="8"/>
    <x v="6"/>
    <x v="1"/>
    <x v="0"/>
    <n v="63899"/>
    <n v="200862"/>
    <x v="119"/>
    <n v="0.97"/>
    <n v="6.29"/>
    <n v="1.2"/>
    <n v="9"/>
    <x v="246"/>
    <n v="65240879"/>
    <x v="710"/>
  </r>
  <r>
    <x v="6"/>
    <x v="0"/>
    <x v="2"/>
    <x v="8"/>
    <x v="0"/>
    <x v="2"/>
    <n v="63229"/>
    <n v="108655"/>
    <x v="36"/>
    <n v="0.97"/>
    <n v="6.29"/>
    <n v="1.2"/>
    <n v="9"/>
    <x v="124"/>
    <n v="47358521"/>
    <x v="711"/>
  </r>
  <r>
    <x v="8"/>
    <x v="1"/>
    <x v="3"/>
    <x v="2"/>
    <x v="1"/>
    <x v="2"/>
    <n v="40583"/>
    <n v="240715"/>
    <x v="240"/>
    <n v="0.97"/>
    <n v="6.29"/>
    <n v="1.2"/>
    <n v="6"/>
    <x v="366"/>
    <n v="16923111"/>
    <x v="712"/>
  </r>
  <r>
    <x v="2"/>
    <x v="5"/>
    <x v="0"/>
    <x v="2"/>
    <x v="1"/>
    <x v="2"/>
    <n v="39897"/>
    <n v="143448"/>
    <x v="89"/>
    <n v="0.97"/>
    <n v="6.29"/>
    <n v="1.2"/>
    <n v="7"/>
    <x v="497"/>
    <n v="25175007"/>
    <x v="713"/>
  </r>
  <r>
    <x v="0"/>
    <x v="11"/>
    <x v="3"/>
    <x v="5"/>
    <x v="0"/>
    <x v="0"/>
    <n v="106537"/>
    <n v="228446"/>
    <x v="317"/>
    <n v="0.97"/>
    <n v="6.29"/>
    <n v="1.2"/>
    <n v="2"/>
    <x v="498"/>
    <n v="98866336"/>
    <x v="714"/>
  </r>
  <r>
    <x v="4"/>
    <x v="11"/>
    <x v="7"/>
    <x v="1"/>
    <x v="1"/>
    <x v="1"/>
    <n v="39567"/>
    <n v="223979"/>
    <x v="28"/>
    <n v="0.97"/>
    <n v="6.29"/>
    <n v="1.2"/>
    <n v="9"/>
    <x v="499"/>
    <n v="4866741"/>
    <x v="715"/>
  </r>
  <r>
    <x v="5"/>
    <x v="8"/>
    <x v="6"/>
    <x v="9"/>
    <x v="0"/>
    <x v="3"/>
    <n v="109807"/>
    <n v="231143"/>
    <x v="18"/>
    <n v="0.97"/>
    <n v="6.29"/>
    <n v="1.2"/>
    <n v="1"/>
    <x v="40"/>
    <n v="41726660"/>
    <x v="716"/>
  </r>
  <r>
    <x v="8"/>
    <x v="3"/>
    <x v="2"/>
    <x v="1"/>
    <x v="1"/>
    <x v="2"/>
    <n v="112239"/>
    <n v="170507"/>
    <x v="151"/>
    <n v="0.97"/>
    <n v="6.29"/>
    <n v="1.2"/>
    <n v="1"/>
    <x v="190"/>
    <n v="50058594"/>
    <x v="717"/>
  </r>
  <r>
    <x v="3"/>
    <x v="7"/>
    <x v="5"/>
    <x v="0"/>
    <x v="0"/>
    <x v="1"/>
    <n v="48329"/>
    <n v="346956"/>
    <x v="70"/>
    <n v="0.97"/>
    <n v="6.29"/>
    <n v="1.2"/>
    <n v="3"/>
    <x v="500"/>
    <n v="52581952"/>
    <x v="718"/>
  </r>
  <r>
    <x v="1"/>
    <x v="0"/>
    <x v="3"/>
    <x v="6"/>
    <x v="1"/>
    <x v="3"/>
    <n v="106792"/>
    <n v="361714"/>
    <x v="296"/>
    <n v="0.97"/>
    <n v="6.29"/>
    <n v="1.2"/>
    <n v="6"/>
    <x v="450"/>
    <n v="52968832"/>
    <x v="719"/>
  </r>
  <r>
    <x v="4"/>
    <x v="2"/>
    <x v="7"/>
    <x v="5"/>
    <x v="0"/>
    <x v="3"/>
    <n v="35228"/>
    <n v="363045"/>
    <x v="91"/>
    <n v="0.97"/>
    <n v="6.29"/>
    <n v="1.2"/>
    <n v="5"/>
    <x v="501"/>
    <n v="6023988"/>
    <x v="720"/>
  </r>
  <r>
    <x v="2"/>
    <x v="8"/>
    <x v="1"/>
    <x v="6"/>
    <x v="1"/>
    <x v="3"/>
    <n v="117214"/>
    <n v="110186"/>
    <x v="10"/>
    <n v="0.97"/>
    <n v="6.29"/>
    <n v="1.2"/>
    <n v="2"/>
    <x v="176"/>
    <n v="59896354"/>
    <x v="721"/>
  </r>
  <r>
    <x v="8"/>
    <x v="7"/>
    <x v="9"/>
    <x v="0"/>
    <x v="0"/>
    <x v="1"/>
    <n v="72052"/>
    <n v="172066"/>
    <x v="261"/>
    <n v="0.97"/>
    <n v="6.29"/>
    <n v="1.2"/>
    <n v="9"/>
    <x v="502"/>
    <n v="65423216"/>
    <x v="722"/>
  </r>
  <r>
    <x v="4"/>
    <x v="1"/>
    <x v="8"/>
    <x v="1"/>
    <x v="1"/>
    <x v="1"/>
    <n v="92769"/>
    <n v="440508"/>
    <x v="1"/>
    <n v="0.97"/>
    <n v="6.29"/>
    <n v="1.2"/>
    <n v="10"/>
    <x v="344"/>
    <n v="72174282"/>
    <x v="723"/>
  </r>
  <r>
    <x v="8"/>
    <x v="3"/>
    <x v="7"/>
    <x v="2"/>
    <x v="1"/>
    <x v="0"/>
    <n v="81032"/>
    <n v="231323"/>
    <x v="192"/>
    <n v="0.97"/>
    <n v="6.29"/>
    <n v="1.2"/>
    <n v="4"/>
    <x v="503"/>
    <n v="20014904"/>
    <x v="724"/>
  </r>
  <r>
    <x v="1"/>
    <x v="8"/>
    <x v="0"/>
    <x v="4"/>
    <x v="0"/>
    <x v="1"/>
    <n v="68686"/>
    <n v="246243"/>
    <x v="198"/>
    <n v="0.97"/>
    <n v="6.29"/>
    <n v="1.2"/>
    <n v="4"/>
    <x v="504"/>
    <n v="57284124"/>
    <x v="725"/>
  </r>
  <r>
    <x v="2"/>
    <x v="9"/>
    <x v="3"/>
    <x v="4"/>
    <x v="0"/>
    <x v="1"/>
    <n v="111981"/>
    <n v="86160"/>
    <x v="93"/>
    <n v="0.97"/>
    <n v="6.29"/>
    <n v="1.2"/>
    <n v="5"/>
    <x v="353"/>
    <n v="64165113"/>
    <x v="726"/>
  </r>
  <r>
    <x v="3"/>
    <x v="1"/>
    <x v="0"/>
    <x v="3"/>
    <x v="1"/>
    <x v="1"/>
    <n v="98261"/>
    <n v="69156"/>
    <x v="99"/>
    <n v="0.97"/>
    <n v="6.29"/>
    <n v="1.2"/>
    <n v="8"/>
    <x v="505"/>
    <n v="15230455"/>
    <x v="727"/>
  </r>
  <r>
    <x v="7"/>
    <x v="7"/>
    <x v="9"/>
    <x v="8"/>
    <x v="0"/>
    <x v="3"/>
    <n v="37809"/>
    <n v="126208"/>
    <x v="32"/>
    <n v="0.97"/>
    <n v="6.29"/>
    <n v="1.2"/>
    <n v="10"/>
    <x v="230"/>
    <n v="20000961"/>
    <x v="728"/>
  </r>
  <r>
    <x v="6"/>
    <x v="0"/>
    <x v="5"/>
    <x v="9"/>
    <x v="0"/>
    <x v="2"/>
    <n v="76785"/>
    <n v="199001"/>
    <x v="241"/>
    <n v="0.97"/>
    <n v="6.29"/>
    <n v="1.2"/>
    <n v="4"/>
    <x v="174"/>
    <n v="57128040"/>
    <x v="729"/>
  </r>
  <r>
    <x v="3"/>
    <x v="2"/>
    <x v="6"/>
    <x v="0"/>
    <x v="0"/>
    <x v="0"/>
    <n v="71547"/>
    <n v="281226"/>
    <x v="118"/>
    <n v="0.97"/>
    <n v="6.29"/>
    <n v="1.2"/>
    <n v="5"/>
    <x v="506"/>
    <n v="77771589"/>
    <x v="730"/>
  </r>
  <r>
    <x v="7"/>
    <x v="7"/>
    <x v="6"/>
    <x v="8"/>
    <x v="0"/>
    <x v="2"/>
    <n v="77818"/>
    <n v="497421"/>
    <x v="61"/>
    <n v="0.97"/>
    <n v="6.29"/>
    <n v="1.2"/>
    <n v="4"/>
    <x v="507"/>
    <n v="53227512"/>
    <x v="731"/>
  </r>
  <r>
    <x v="5"/>
    <x v="8"/>
    <x v="0"/>
    <x v="9"/>
    <x v="0"/>
    <x v="2"/>
    <n v="106927"/>
    <n v="291766"/>
    <x v="318"/>
    <n v="0.97"/>
    <n v="6.29"/>
    <n v="1.2"/>
    <n v="6"/>
    <x v="508"/>
    <n v="99762891"/>
    <x v="732"/>
  </r>
  <r>
    <x v="9"/>
    <x v="8"/>
    <x v="2"/>
    <x v="8"/>
    <x v="0"/>
    <x v="1"/>
    <n v="100681"/>
    <n v="245413"/>
    <x v="127"/>
    <n v="0.97"/>
    <n v="6.29"/>
    <n v="1.2"/>
    <n v="3"/>
    <x v="509"/>
    <n v="23660035"/>
    <x v="733"/>
  </r>
  <r>
    <x v="0"/>
    <x v="2"/>
    <x v="5"/>
    <x v="1"/>
    <x v="1"/>
    <x v="0"/>
    <n v="114465"/>
    <n v="407521"/>
    <x v="93"/>
    <n v="0.97"/>
    <n v="6.29"/>
    <n v="1.2"/>
    <n v="8"/>
    <x v="429"/>
    <n v="63299145"/>
    <x v="734"/>
  </r>
  <r>
    <x v="0"/>
    <x v="4"/>
    <x v="6"/>
    <x v="9"/>
    <x v="0"/>
    <x v="2"/>
    <n v="72333"/>
    <n v="355007"/>
    <x v="267"/>
    <n v="0.97"/>
    <n v="6.29"/>
    <n v="1.2"/>
    <n v="6"/>
    <x v="17"/>
    <n v="46582452"/>
    <x v="735"/>
  </r>
  <r>
    <x v="6"/>
    <x v="0"/>
    <x v="5"/>
    <x v="1"/>
    <x v="1"/>
    <x v="2"/>
    <n v="51576"/>
    <n v="262909"/>
    <x v="212"/>
    <n v="0.97"/>
    <n v="6.29"/>
    <n v="1.2"/>
    <n v="10"/>
    <x v="510"/>
    <n v="55341048"/>
    <x v="736"/>
  </r>
  <r>
    <x v="2"/>
    <x v="6"/>
    <x v="7"/>
    <x v="2"/>
    <x v="1"/>
    <x v="0"/>
    <n v="74405"/>
    <n v="115439"/>
    <x v="281"/>
    <n v="0.97"/>
    <n v="6.29"/>
    <n v="1.2"/>
    <n v="5"/>
    <x v="511"/>
    <n v="44419785"/>
    <x v="737"/>
  </r>
  <r>
    <x v="1"/>
    <x v="1"/>
    <x v="5"/>
    <x v="5"/>
    <x v="0"/>
    <x v="1"/>
    <n v="108779"/>
    <n v="188266"/>
    <x v="231"/>
    <n v="0.97"/>
    <n v="6.29"/>
    <n v="1.2"/>
    <n v="2"/>
    <x v="11"/>
    <n v="89960233"/>
    <x v="738"/>
  </r>
  <r>
    <x v="2"/>
    <x v="11"/>
    <x v="4"/>
    <x v="1"/>
    <x v="1"/>
    <x v="2"/>
    <n v="66601"/>
    <n v="252459"/>
    <x v="319"/>
    <n v="0.97"/>
    <n v="6.29"/>
    <n v="1.2"/>
    <n v="10"/>
    <x v="138"/>
    <n v="28305425"/>
    <x v="739"/>
  </r>
  <r>
    <x v="1"/>
    <x v="2"/>
    <x v="9"/>
    <x v="4"/>
    <x v="0"/>
    <x v="3"/>
    <n v="102946"/>
    <n v="171361"/>
    <x v="85"/>
    <n v="0.97"/>
    <n v="6.29"/>
    <n v="1.2"/>
    <n v="10"/>
    <x v="367"/>
    <n v="89460074"/>
    <x v="740"/>
  </r>
  <r>
    <x v="2"/>
    <x v="0"/>
    <x v="6"/>
    <x v="8"/>
    <x v="0"/>
    <x v="2"/>
    <n v="102356"/>
    <n v="262986"/>
    <x v="268"/>
    <n v="0.97"/>
    <n v="6.29"/>
    <n v="1.2"/>
    <n v="7"/>
    <x v="512"/>
    <n v="109213852"/>
    <x v="741"/>
  </r>
  <r>
    <x v="9"/>
    <x v="11"/>
    <x v="5"/>
    <x v="3"/>
    <x v="1"/>
    <x v="3"/>
    <n v="87116"/>
    <n v="247286"/>
    <x v="320"/>
    <n v="0.97"/>
    <n v="6.29"/>
    <n v="1.2"/>
    <n v="2"/>
    <x v="513"/>
    <n v="71086656"/>
    <x v="742"/>
  </r>
  <r>
    <x v="5"/>
    <x v="0"/>
    <x v="0"/>
    <x v="7"/>
    <x v="1"/>
    <x v="1"/>
    <n v="97894"/>
    <n v="408320"/>
    <x v="73"/>
    <n v="0.97"/>
    <n v="6.29"/>
    <n v="1.2"/>
    <n v="1"/>
    <x v="178"/>
    <n v="44737558"/>
    <x v="743"/>
  </r>
  <r>
    <x v="5"/>
    <x v="0"/>
    <x v="1"/>
    <x v="9"/>
    <x v="0"/>
    <x v="2"/>
    <n v="69635"/>
    <n v="79777"/>
    <x v="265"/>
    <n v="0.97"/>
    <n v="6.29"/>
    <n v="1.2"/>
    <n v="7"/>
    <x v="271"/>
    <n v="37115455"/>
    <x v="744"/>
  </r>
  <r>
    <x v="7"/>
    <x v="7"/>
    <x v="4"/>
    <x v="0"/>
    <x v="0"/>
    <x v="0"/>
    <n v="42465"/>
    <n v="306427"/>
    <x v="253"/>
    <n v="0.97"/>
    <n v="6.29"/>
    <n v="1.2"/>
    <n v="5"/>
    <x v="335"/>
    <n v="32910375"/>
    <x v="745"/>
  </r>
  <r>
    <x v="4"/>
    <x v="0"/>
    <x v="4"/>
    <x v="3"/>
    <x v="1"/>
    <x v="0"/>
    <n v="91754"/>
    <n v="207255"/>
    <x v="185"/>
    <n v="0.97"/>
    <n v="6.29"/>
    <n v="1.2"/>
    <n v="1"/>
    <x v="514"/>
    <n v="62667982"/>
    <x v="746"/>
  </r>
  <r>
    <x v="5"/>
    <x v="4"/>
    <x v="2"/>
    <x v="4"/>
    <x v="0"/>
    <x v="2"/>
    <n v="73871"/>
    <n v="470661"/>
    <x v="117"/>
    <n v="0.97"/>
    <n v="6.29"/>
    <n v="1.2"/>
    <n v="4"/>
    <x v="279"/>
    <n v="38782275"/>
    <x v="747"/>
  </r>
  <r>
    <x v="5"/>
    <x v="6"/>
    <x v="5"/>
    <x v="1"/>
    <x v="1"/>
    <x v="1"/>
    <n v="97874"/>
    <n v="248110"/>
    <x v="141"/>
    <n v="0.97"/>
    <n v="6.29"/>
    <n v="1.2"/>
    <n v="4"/>
    <x v="468"/>
    <n v="47175268"/>
    <x v="748"/>
  </r>
  <r>
    <x v="3"/>
    <x v="8"/>
    <x v="2"/>
    <x v="5"/>
    <x v="0"/>
    <x v="1"/>
    <n v="112733"/>
    <n v="399345"/>
    <x v="163"/>
    <n v="0.97"/>
    <n v="6.29"/>
    <n v="1.2"/>
    <n v="10"/>
    <x v="491"/>
    <n v="97063113"/>
    <x v="749"/>
  </r>
  <r>
    <x v="3"/>
    <x v="10"/>
    <x v="2"/>
    <x v="2"/>
    <x v="1"/>
    <x v="0"/>
    <n v="64511"/>
    <n v="459414"/>
    <x v="2"/>
    <n v="0.97"/>
    <n v="6.29"/>
    <n v="1.2"/>
    <n v="7"/>
    <x v="105"/>
    <n v="12450623"/>
    <x v="750"/>
  </r>
  <r>
    <x v="7"/>
    <x v="11"/>
    <x v="1"/>
    <x v="7"/>
    <x v="1"/>
    <x v="2"/>
    <n v="115960"/>
    <n v="464627"/>
    <x v="45"/>
    <n v="0.97"/>
    <n v="6.29"/>
    <n v="1.2"/>
    <n v="9"/>
    <x v="39"/>
    <n v="93347800"/>
    <x v="751"/>
  </r>
  <r>
    <x v="4"/>
    <x v="8"/>
    <x v="7"/>
    <x v="6"/>
    <x v="1"/>
    <x v="1"/>
    <n v="83821"/>
    <n v="231649"/>
    <x v="318"/>
    <n v="0.97"/>
    <n v="6.29"/>
    <n v="1.2"/>
    <n v="2"/>
    <x v="159"/>
    <n v="74013943"/>
    <x v="752"/>
  </r>
  <r>
    <x v="6"/>
    <x v="10"/>
    <x v="5"/>
    <x v="3"/>
    <x v="1"/>
    <x v="0"/>
    <n v="100776"/>
    <n v="328011"/>
    <x v="281"/>
    <n v="0.97"/>
    <n v="6.29"/>
    <n v="1.2"/>
    <n v="1"/>
    <x v="515"/>
    <n v="71954064"/>
    <x v="753"/>
  </r>
  <r>
    <x v="3"/>
    <x v="6"/>
    <x v="3"/>
    <x v="5"/>
    <x v="0"/>
    <x v="3"/>
    <n v="105167"/>
    <n v="112501"/>
    <x v="131"/>
    <n v="0.97"/>
    <n v="6.29"/>
    <n v="1.2"/>
    <n v="2"/>
    <x v="516"/>
    <n v="86657608"/>
    <x v="754"/>
  </r>
  <r>
    <x v="6"/>
    <x v="6"/>
    <x v="6"/>
    <x v="6"/>
    <x v="1"/>
    <x v="2"/>
    <n v="110135"/>
    <n v="195338"/>
    <x v="40"/>
    <n v="0.97"/>
    <n v="6.29"/>
    <n v="1.2"/>
    <n v="7"/>
    <x v="166"/>
    <n v="38216845"/>
    <x v="755"/>
  </r>
  <r>
    <x v="8"/>
    <x v="11"/>
    <x v="2"/>
    <x v="7"/>
    <x v="1"/>
    <x v="3"/>
    <n v="79462"/>
    <n v="351566"/>
    <x v="289"/>
    <n v="0.97"/>
    <n v="6.29"/>
    <n v="1.2"/>
    <n v="10"/>
    <x v="492"/>
    <n v="23679676"/>
    <x v="756"/>
  </r>
  <r>
    <x v="3"/>
    <x v="11"/>
    <x v="9"/>
    <x v="0"/>
    <x v="0"/>
    <x v="3"/>
    <n v="96382"/>
    <n v="216280"/>
    <x v="256"/>
    <n v="0.97"/>
    <n v="6.29"/>
    <n v="1.2"/>
    <n v="6"/>
    <x v="139"/>
    <n v="57443672"/>
    <x v="757"/>
  </r>
  <r>
    <x v="9"/>
    <x v="6"/>
    <x v="8"/>
    <x v="0"/>
    <x v="0"/>
    <x v="1"/>
    <n v="67574"/>
    <n v="171544"/>
    <x v="94"/>
    <n v="0.97"/>
    <n v="6.29"/>
    <n v="1.2"/>
    <n v="4"/>
    <x v="477"/>
    <n v="48180262"/>
    <x v="758"/>
  </r>
  <r>
    <x v="4"/>
    <x v="10"/>
    <x v="9"/>
    <x v="8"/>
    <x v="0"/>
    <x v="1"/>
    <n v="76910"/>
    <n v="474429"/>
    <x v="141"/>
    <n v="0.97"/>
    <n v="6.29"/>
    <n v="1.2"/>
    <n v="1"/>
    <x v="113"/>
    <n v="52760260"/>
    <x v="759"/>
  </r>
  <r>
    <x v="7"/>
    <x v="2"/>
    <x v="1"/>
    <x v="7"/>
    <x v="1"/>
    <x v="1"/>
    <n v="108531"/>
    <n v="188439"/>
    <x v="162"/>
    <n v="0.97"/>
    <n v="6.29"/>
    <n v="1.2"/>
    <n v="1"/>
    <x v="517"/>
    <n v="85196835"/>
    <x v="760"/>
  </r>
  <r>
    <x v="8"/>
    <x v="0"/>
    <x v="1"/>
    <x v="7"/>
    <x v="1"/>
    <x v="2"/>
    <n v="60186"/>
    <n v="305230"/>
    <x v="321"/>
    <n v="0.97"/>
    <n v="6.29"/>
    <n v="1.2"/>
    <n v="5"/>
    <x v="518"/>
    <n v="55491492"/>
    <x v="761"/>
  </r>
  <r>
    <x v="4"/>
    <x v="1"/>
    <x v="0"/>
    <x v="6"/>
    <x v="1"/>
    <x v="3"/>
    <n v="57813"/>
    <n v="85362"/>
    <x v="239"/>
    <n v="0.97"/>
    <n v="6.29"/>
    <n v="1.2"/>
    <n v="1"/>
    <x v="262"/>
    <n v="29715882"/>
    <x v="762"/>
  </r>
  <r>
    <x v="9"/>
    <x v="3"/>
    <x v="7"/>
    <x v="5"/>
    <x v="0"/>
    <x v="2"/>
    <n v="113812"/>
    <n v="300449"/>
    <x v="227"/>
    <n v="0.97"/>
    <n v="6.29"/>
    <n v="1.2"/>
    <n v="7"/>
    <x v="519"/>
    <n v="64872840"/>
    <x v="763"/>
  </r>
  <r>
    <x v="4"/>
    <x v="9"/>
    <x v="6"/>
    <x v="9"/>
    <x v="0"/>
    <x v="1"/>
    <n v="113282"/>
    <n v="363732"/>
    <x v="205"/>
    <n v="0.97"/>
    <n v="6.29"/>
    <n v="1.2"/>
    <n v="1"/>
    <x v="520"/>
    <n v="127895378"/>
    <x v="764"/>
  </r>
  <r>
    <x v="9"/>
    <x v="3"/>
    <x v="2"/>
    <x v="6"/>
    <x v="1"/>
    <x v="3"/>
    <n v="53557"/>
    <n v="219357"/>
    <x v="184"/>
    <n v="0.97"/>
    <n v="6.29"/>
    <n v="1.2"/>
    <n v="1"/>
    <x v="169"/>
    <n v="32080643"/>
    <x v="765"/>
  </r>
  <r>
    <x v="9"/>
    <x v="8"/>
    <x v="9"/>
    <x v="2"/>
    <x v="1"/>
    <x v="2"/>
    <n v="63060"/>
    <n v="176683"/>
    <x v="322"/>
    <n v="0.97"/>
    <n v="6.29"/>
    <n v="1.2"/>
    <n v="2"/>
    <x v="485"/>
    <n v="16143360"/>
    <x v="766"/>
  </r>
  <r>
    <x v="6"/>
    <x v="7"/>
    <x v="8"/>
    <x v="0"/>
    <x v="0"/>
    <x v="2"/>
    <n v="93866"/>
    <n v="306157"/>
    <x v="76"/>
    <n v="0.97"/>
    <n v="6.29"/>
    <n v="1.2"/>
    <n v="10"/>
    <x v="458"/>
    <n v="35387482"/>
    <x v="767"/>
  </r>
  <r>
    <x v="2"/>
    <x v="8"/>
    <x v="1"/>
    <x v="0"/>
    <x v="0"/>
    <x v="0"/>
    <n v="107104"/>
    <n v="255827"/>
    <x v="323"/>
    <n v="0.97"/>
    <n v="6.29"/>
    <n v="1.2"/>
    <n v="3"/>
    <x v="521"/>
    <n v="19814240"/>
    <x v="768"/>
  </r>
  <r>
    <x v="8"/>
    <x v="7"/>
    <x v="1"/>
    <x v="8"/>
    <x v="0"/>
    <x v="2"/>
    <n v="119577"/>
    <n v="252918"/>
    <x v="130"/>
    <n v="0.97"/>
    <n v="6.29"/>
    <n v="1.2"/>
    <n v="1"/>
    <x v="522"/>
    <n v="81073206"/>
    <x v="769"/>
  </r>
  <r>
    <x v="4"/>
    <x v="10"/>
    <x v="7"/>
    <x v="2"/>
    <x v="1"/>
    <x v="1"/>
    <n v="41080"/>
    <n v="348451"/>
    <x v="324"/>
    <n v="0.97"/>
    <n v="6.29"/>
    <n v="1.2"/>
    <n v="9"/>
    <x v="173"/>
    <n v="39724360"/>
    <x v="770"/>
  </r>
  <r>
    <x v="1"/>
    <x v="7"/>
    <x v="8"/>
    <x v="0"/>
    <x v="0"/>
    <x v="2"/>
    <n v="48854"/>
    <n v="392424"/>
    <x v="12"/>
    <n v="0.97"/>
    <n v="6.29"/>
    <n v="1.2"/>
    <n v="10"/>
    <x v="523"/>
    <n v="47192964"/>
    <x v="771"/>
  </r>
  <r>
    <x v="8"/>
    <x v="11"/>
    <x v="8"/>
    <x v="6"/>
    <x v="1"/>
    <x v="3"/>
    <n v="102695"/>
    <n v="463083"/>
    <x v="311"/>
    <n v="0.97"/>
    <n v="6.29"/>
    <n v="1.2"/>
    <n v="8"/>
    <x v="212"/>
    <n v="55249910"/>
    <x v="772"/>
  </r>
  <r>
    <x v="2"/>
    <x v="2"/>
    <x v="7"/>
    <x v="2"/>
    <x v="1"/>
    <x v="2"/>
    <n v="62025"/>
    <n v="368667"/>
    <x v="101"/>
    <n v="0.97"/>
    <n v="6.29"/>
    <n v="1.2"/>
    <n v="5"/>
    <x v="95"/>
    <n v="54582000"/>
    <x v="773"/>
  </r>
  <r>
    <x v="8"/>
    <x v="1"/>
    <x v="1"/>
    <x v="6"/>
    <x v="1"/>
    <x v="0"/>
    <n v="87982"/>
    <n v="449594"/>
    <x v="10"/>
    <n v="0.97"/>
    <n v="6.29"/>
    <n v="1.2"/>
    <n v="2"/>
    <x v="57"/>
    <n v="43551090"/>
    <x v="774"/>
  </r>
  <r>
    <x v="5"/>
    <x v="1"/>
    <x v="6"/>
    <x v="9"/>
    <x v="0"/>
    <x v="3"/>
    <n v="76081"/>
    <n v="265757"/>
    <x v="153"/>
    <n v="0.97"/>
    <n v="6.29"/>
    <n v="1.2"/>
    <n v="5"/>
    <x v="524"/>
    <n v="66875199"/>
    <x v="775"/>
  </r>
  <r>
    <x v="1"/>
    <x v="11"/>
    <x v="5"/>
    <x v="9"/>
    <x v="0"/>
    <x v="3"/>
    <n v="39368"/>
    <n v="157669"/>
    <x v="19"/>
    <n v="0.97"/>
    <n v="6.29"/>
    <n v="1.2"/>
    <n v="6"/>
    <x v="525"/>
    <n v="38226328"/>
    <x v="776"/>
  </r>
  <r>
    <x v="2"/>
    <x v="2"/>
    <x v="5"/>
    <x v="0"/>
    <x v="0"/>
    <x v="0"/>
    <n v="62094"/>
    <n v="258030"/>
    <x v="142"/>
    <n v="0.97"/>
    <n v="6.29"/>
    <n v="1.2"/>
    <n v="1"/>
    <x v="211"/>
    <n v="62839128"/>
    <x v="777"/>
  </r>
  <r>
    <x v="6"/>
    <x v="4"/>
    <x v="7"/>
    <x v="0"/>
    <x v="0"/>
    <x v="1"/>
    <n v="81040"/>
    <n v="208998"/>
    <x v="228"/>
    <n v="0.97"/>
    <n v="6.29"/>
    <n v="1.2"/>
    <n v="4"/>
    <x v="526"/>
    <n v="57295280"/>
    <x v="778"/>
  </r>
  <r>
    <x v="4"/>
    <x v="3"/>
    <x v="8"/>
    <x v="5"/>
    <x v="0"/>
    <x v="3"/>
    <n v="101766"/>
    <n v="153215"/>
    <x v="325"/>
    <n v="0.97"/>
    <n v="6.29"/>
    <n v="1.2"/>
    <n v="9"/>
    <x v="126"/>
    <n v="76629798"/>
    <x v="779"/>
  </r>
  <r>
    <x v="0"/>
    <x v="10"/>
    <x v="2"/>
    <x v="9"/>
    <x v="0"/>
    <x v="1"/>
    <n v="118053"/>
    <n v="148707"/>
    <x v="326"/>
    <n v="0.97"/>
    <n v="6.29"/>
    <n v="1.2"/>
    <n v="2"/>
    <x v="292"/>
    <n v="34235370"/>
    <x v="780"/>
  </r>
  <r>
    <x v="2"/>
    <x v="3"/>
    <x v="7"/>
    <x v="3"/>
    <x v="1"/>
    <x v="3"/>
    <n v="58991"/>
    <n v="456396"/>
    <x v="108"/>
    <n v="0.97"/>
    <n v="6.29"/>
    <n v="1.2"/>
    <n v="5"/>
    <x v="178"/>
    <n v="26958887"/>
    <x v="781"/>
  </r>
  <r>
    <x v="7"/>
    <x v="4"/>
    <x v="6"/>
    <x v="3"/>
    <x v="1"/>
    <x v="3"/>
    <n v="36301"/>
    <n v="142837"/>
    <x v="327"/>
    <n v="0.97"/>
    <n v="6.29"/>
    <n v="1.2"/>
    <n v="1"/>
    <x v="527"/>
    <n v="21599095"/>
    <x v="782"/>
  </r>
  <r>
    <x v="4"/>
    <x v="4"/>
    <x v="7"/>
    <x v="8"/>
    <x v="0"/>
    <x v="1"/>
    <n v="63610"/>
    <n v="430214"/>
    <x v="102"/>
    <n v="0.97"/>
    <n v="6.29"/>
    <n v="1.2"/>
    <n v="4"/>
    <x v="291"/>
    <n v="69080460"/>
    <x v="783"/>
  </r>
  <r>
    <x v="2"/>
    <x v="8"/>
    <x v="4"/>
    <x v="9"/>
    <x v="0"/>
    <x v="3"/>
    <n v="116463"/>
    <n v="480147"/>
    <x v="2"/>
    <n v="0.97"/>
    <n v="6.29"/>
    <n v="1.2"/>
    <n v="4"/>
    <x v="528"/>
    <n v="28416972"/>
    <x v="784"/>
  </r>
  <r>
    <x v="5"/>
    <x v="6"/>
    <x v="9"/>
    <x v="6"/>
    <x v="1"/>
    <x v="1"/>
    <n v="69678"/>
    <n v="467230"/>
    <x v="316"/>
    <n v="0.97"/>
    <n v="6.29"/>
    <n v="1.2"/>
    <n v="6"/>
    <x v="364"/>
    <n v="61943742"/>
    <x v="785"/>
  </r>
  <r>
    <x v="0"/>
    <x v="8"/>
    <x v="8"/>
    <x v="6"/>
    <x v="1"/>
    <x v="0"/>
    <n v="59466"/>
    <n v="295847"/>
    <x v="44"/>
    <n v="0.97"/>
    <n v="6.29"/>
    <n v="1.2"/>
    <n v="10"/>
    <x v="460"/>
    <n v="24678390"/>
    <x v="786"/>
  </r>
  <r>
    <x v="5"/>
    <x v="6"/>
    <x v="0"/>
    <x v="4"/>
    <x v="0"/>
    <x v="1"/>
    <n v="115440"/>
    <n v="277544"/>
    <x v="288"/>
    <n v="0.97"/>
    <n v="6.29"/>
    <n v="1.2"/>
    <n v="9"/>
    <x v="158"/>
    <n v="60836880"/>
    <x v="787"/>
  </r>
  <r>
    <x v="0"/>
    <x v="9"/>
    <x v="0"/>
    <x v="2"/>
    <x v="1"/>
    <x v="0"/>
    <n v="75875"/>
    <n v="392016"/>
    <x v="328"/>
    <n v="0.97"/>
    <n v="6.29"/>
    <n v="1.2"/>
    <n v="3"/>
    <x v="529"/>
    <n v="52657250"/>
    <x v="788"/>
  </r>
  <r>
    <x v="7"/>
    <x v="7"/>
    <x v="8"/>
    <x v="1"/>
    <x v="1"/>
    <x v="3"/>
    <n v="61081"/>
    <n v="399880"/>
    <x v="217"/>
    <n v="0.97"/>
    <n v="6.29"/>
    <n v="1.2"/>
    <n v="9"/>
    <x v="130"/>
    <n v="51796688"/>
    <x v="789"/>
  </r>
  <r>
    <x v="4"/>
    <x v="2"/>
    <x v="6"/>
    <x v="3"/>
    <x v="1"/>
    <x v="1"/>
    <n v="59354"/>
    <n v="317614"/>
    <x v="188"/>
    <n v="0.97"/>
    <n v="6.29"/>
    <n v="1.2"/>
    <n v="6"/>
    <x v="110"/>
    <n v="25284804"/>
    <x v="790"/>
  </r>
  <r>
    <x v="6"/>
    <x v="6"/>
    <x v="4"/>
    <x v="0"/>
    <x v="0"/>
    <x v="3"/>
    <n v="53300"/>
    <n v="277467"/>
    <x v="247"/>
    <n v="0.97"/>
    <n v="6.29"/>
    <n v="1.2"/>
    <n v="7"/>
    <x v="28"/>
    <n v="41680600"/>
    <x v="791"/>
  </r>
  <r>
    <x v="5"/>
    <x v="3"/>
    <x v="4"/>
    <x v="8"/>
    <x v="0"/>
    <x v="1"/>
    <n v="99384"/>
    <n v="196025"/>
    <x v="154"/>
    <n v="0.97"/>
    <n v="6.29"/>
    <n v="1.2"/>
    <n v="10"/>
    <x v="530"/>
    <n v="51182760"/>
    <x v="792"/>
  </r>
  <r>
    <x v="5"/>
    <x v="11"/>
    <x v="1"/>
    <x v="1"/>
    <x v="1"/>
    <x v="0"/>
    <n v="95892"/>
    <n v="285652"/>
    <x v="329"/>
    <n v="0.97"/>
    <n v="6.29"/>
    <n v="1.2"/>
    <n v="2"/>
    <x v="531"/>
    <n v="77097168"/>
    <x v="793"/>
  </r>
  <r>
    <x v="9"/>
    <x v="8"/>
    <x v="9"/>
    <x v="7"/>
    <x v="1"/>
    <x v="0"/>
    <n v="70525"/>
    <n v="481723"/>
    <x v="276"/>
    <n v="0.97"/>
    <n v="6.29"/>
    <n v="1.2"/>
    <n v="10"/>
    <x v="367"/>
    <n v="61286225"/>
    <x v="794"/>
  </r>
  <r>
    <x v="0"/>
    <x v="2"/>
    <x v="5"/>
    <x v="8"/>
    <x v="0"/>
    <x v="1"/>
    <n v="61532"/>
    <n v="405113"/>
    <x v="330"/>
    <n v="0.97"/>
    <n v="6.29"/>
    <n v="1.2"/>
    <n v="6"/>
    <x v="242"/>
    <n v="12367932"/>
    <x v="795"/>
  </r>
  <r>
    <x v="3"/>
    <x v="10"/>
    <x v="3"/>
    <x v="7"/>
    <x v="1"/>
    <x v="0"/>
    <n v="41464"/>
    <n v="141493"/>
    <x v="109"/>
    <n v="0.97"/>
    <n v="6.29"/>
    <n v="1.2"/>
    <n v="6"/>
    <x v="399"/>
    <n v="21727136"/>
    <x v="796"/>
  </r>
  <r>
    <x v="4"/>
    <x v="2"/>
    <x v="6"/>
    <x v="9"/>
    <x v="0"/>
    <x v="3"/>
    <n v="51562"/>
    <n v="318667"/>
    <x v="126"/>
    <n v="0.97"/>
    <n v="6.29"/>
    <n v="1.2"/>
    <n v="2"/>
    <x v="49"/>
    <n v="24543512"/>
    <x v="797"/>
  </r>
  <r>
    <x v="0"/>
    <x v="7"/>
    <x v="3"/>
    <x v="7"/>
    <x v="1"/>
    <x v="3"/>
    <n v="90514"/>
    <n v="267995"/>
    <x v="121"/>
    <n v="0.97"/>
    <n v="6.29"/>
    <n v="1.2"/>
    <n v="2"/>
    <x v="348"/>
    <n v="80014376"/>
    <x v="798"/>
  </r>
  <r>
    <x v="9"/>
    <x v="9"/>
    <x v="3"/>
    <x v="7"/>
    <x v="1"/>
    <x v="2"/>
    <n v="109219"/>
    <n v="238262"/>
    <x v="312"/>
    <n v="0.97"/>
    <n v="6.29"/>
    <n v="1.2"/>
    <n v="2"/>
    <x v="272"/>
    <n v="46964170"/>
    <x v="799"/>
  </r>
  <r>
    <x v="8"/>
    <x v="6"/>
    <x v="8"/>
    <x v="5"/>
    <x v="0"/>
    <x v="0"/>
    <n v="67634"/>
    <n v="490977"/>
    <x v="271"/>
    <n v="0.97"/>
    <n v="6.29"/>
    <n v="1.2"/>
    <n v="10"/>
    <x v="143"/>
    <n v="57421266"/>
    <x v="800"/>
  </r>
  <r>
    <x v="0"/>
    <x v="9"/>
    <x v="0"/>
    <x v="5"/>
    <x v="0"/>
    <x v="3"/>
    <n v="35060"/>
    <n v="343313"/>
    <x v="15"/>
    <n v="0.97"/>
    <n v="6.29"/>
    <n v="1.2"/>
    <n v="1"/>
    <x v="347"/>
    <n v="16443140"/>
    <x v="801"/>
  </r>
  <r>
    <x v="6"/>
    <x v="10"/>
    <x v="0"/>
    <x v="5"/>
    <x v="0"/>
    <x v="1"/>
    <n v="44269"/>
    <n v="95641"/>
    <x v="212"/>
    <n v="0.97"/>
    <n v="6.29"/>
    <n v="1.2"/>
    <n v="5"/>
    <x v="449"/>
    <n v="44003386"/>
    <x v="802"/>
  </r>
  <r>
    <x v="4"/>
    <x v="4"/>
    <x v="5"/>
    <x v="9"/>
    <x v="0"/>
    <x v="0"/>
    <n v="98143"/>
    <n v="204062"/>
    <x v="322"/>
    <n v="0.97"/>
    <n v="6.29"/>
    <n v="1.2"/>
    <n v="8"/>
    <x v="532"/>
    <n v="45930924"/>
    <x v="803"/>
  </r>
  <r>
    <x v="9"/>
    <x v="1"/>
    <x v="8"/>
    <x v="1"/>
    <x v="1"/>
    <x v="3"/>
    <n v="58065"/>
    <n v="79661"/>
    <x v="288"/>
    <n v="0.97"/>
    <n v="6.29"/>
    <n v="1.2"/>
    <n v="2"/>
    <x v="533"/>
    <n v="45639090"/>
    <x v="804"/>
  </r>
  <r>
    <x v="8"/>
    <x v="10"/>
    <x v="3"/>
    <x v="8"/>
    <x v="0"/>
    <x v="0"/>
    <n v="37895"/>
    <n v="194491"/>
    <x v="210"/>
    <n v="0.97"/>
    <n v="6.29"/>
    <n v="1.2"/>
    <n v="5"/>
    <x v="137"/>
    <n v="28875990"/>
    <x v="805"/>
  </r>
  <r>
    <x v="1"/>
    <x v="5"/>
    <x v="2"/>
    <x v="8"/>
    <x v="0"/>
    <x v="1"/>
    <n v="115859"/>
    <n v="326601"/>
    <x v="247"/>
    <n v="0.97"/>
    <n v="6.29"/>
    <n v="1.2"/>
    <n v="8"/>
    <x v="247"/>
    <n v="74149760"/>
    <x v="806"/>
  </r>
  <r>
    <x v="9"/>
    <x v="10"/>
    <x v="0"/>
    <x v="0"/>
    <x v="0"/>
    <x v="3"/>
    <n v="47352"/>
    <n v="379744"/>
    <x v="16"/>
    <n v="0.97"/>
    <n v="6.29"/>
    <n v="1.2"/>
    <n v="10"/>
    <x v="247"/>
    <n v="30305280"/>
    <x v="807"/>
  </r>
  <r>
    <x v="1"/>
    <x v="9"/>
    <x v="6"/>
    <x v="5"/>
    <x v="0"/>
    <x v="2"/>
    <n v="84737"/>
    <n v="153619"/>
    <x v="280"/>
    <n v="0.97"/>
    <n v="6.29"/>
    <n v="1.2"/>
    <n v="5"/>
    <x v="534"/>
    <n v="18981088"/>
    <x v="808"/>
  </r>
  <r>
    <x v="4"/>
    <x v="2"/>
    <x v="6"/>
    <x v="9"/>
    <x v="0"/>
    <x v="2"/>
    <n v="67016"/>
    <n v="388246"/>
    <x v="140"/>
    <n v="0.97"/>
    <n v="6.29"/>
    <n v="1.2"/>
    <n v="2"/>
    <x v="421"/>
    <n v="42957256"/>
    <x v="809"/>
  </r>
  <r>
    <x v="5"/>
    <x v="11"/>
    <x v="1"/>
    <x v="0"/>
    <x v="0"/>
    <x v="0"/>
    <n v="96304"/>
    <n v="83085"/>
    <x v="20"/>
    <n v="0.97"/>
    <n v="6.29"/>
    <n v="1.2"/>
    <n v="3"/>
    <x v="419"/>
    <n v="64331072"/>
    <x v="810"/>
  </r>
  <r>
    <x v="9"/>
    <x v="8"/>
    <x v="7"/>
    <x v="2"/>
    <x v="1"/>
    <x v="1"/>
    <n v="46962"/>
    <n v="147064"/>
    <x v="308"/>
    <n v="0.97"/>
    <n v="6.29"/>
    <n v="1.2"/>
    <n v="6"/>
    <x v="46"/>
    <n v="18596952"/>
    <x v="811"/>
  </r>
  <r>
    <x v="7"/>
    <x v="11"/>
    <x v="2"/>
    <x v="0"/>
    <x v="0"/>
    <x v="3"/>
    <n v="68302"/>
    <n v="231726"/>
    <x v="331"/>
    <n v="0.97"/>
    <n v="6.29"/>
    <n v="1.2"/>
    <n v="5"/>
    <x v="535"/>
    <n v="29916276"/>
    <x v="812"/>
  </r>
  <r>
    <x v="1"/>
    <x v="9"/>
    <x v="0"/>
    <x v="1"/>
    <x v="1"/>
    <x v="1"/>
    <n v="39011"/>
    <n v="449346"/>
    <x v="332"/>
    <n v="0.97"/>
    <n v="6.29"/>
    <n v="1.2"/>
    <n v="4"/>
    <x v="63"/>
    <n v="37099461"/>
    <x v="813"/>
  </r>
  <r>
    <x v="6"/>
    <x v="8"/>
    <x v="4"/>
    <x v="3"/>
    <x v="1"/>
    <x v="3"/>
    <n v="54782"/>
    <n v="155723"/>
    <x v="83"/>
    <n v="0.97"/>
    <n v="6.29"/>
    <n v="1.2"/>
    <n v="4"/>
    <x v="88"/>
    <n v="58397612"/>
    <x v="814"/>
  </r>
  <r>
    <x v="7"/>
    <x v="5"/>
    <x v="0"/>
    <x v="7"/>
    <x v="1"/>
    <x v="0"/>
    <n v="102691"/>
    <n v="183114"/>
    <x v="235"/>
    <n v="0.97"/>
    <n v="6.29"/>
    <n v="1.2"/>
    <n v="5"/>
    <x v="536"/>
    <n v="40049490"/>
    <x v="815"/>
  </r>
  <r>
    <x v="2"/>
    <x v="1"/>
    <x v="1"/>
    <x v="5"/>
    <x v="0"/>
    <x v="3"/>
    <n v="74725"/>
    <n v="382278"/>
    <x v="208"/>
    <n v="0.97"/>
    <n v="6.29"/>
    <n v="1.2"/>
    <n v="2"/>
    <x v="537"/>
    <n v="22641675"/>
    <x v="816"/>
  </r>
  <r>
    <x v="2"/>
    <x v="7"/>
    <x v="6"/>
    <x v="3"/>
    <x v="1"/>
    <x v="1"/>
    <n v="44196"/>
    <n v="355126"/>
    <x v="293"/>
    <n v="0.97"/>
    <n v="6.29"/>
    <n v="1.2"/>
    <n v="9"/>
    <x v="503"/>
    <n v="10916412"/>
    <x v="817"/>
  </r>
  <r>
    <x v="8"/>
    <x v="3"/>
    <x v="3"/>
    <x v="0"/>
    <x v="0"/>
    <x v="1"/>
    <n v="78459"/>
    <n v="377329"/>
    <x v="67"/>
    <n v="0.97"/>
    <n v="6.29"/>
    <n v="1.2"/>
    <n v="2"/>
    <x v="58"/>
    <n v="45192384"/>
    <x v="818"/>
  </r>
  <r>
    <x v="5"/>
    <x v="9"/>
    <x v="4"/>
    <x v="9"/>
    <x v="0"/>
    <x v="0"/>
    <n v="113863"/>
    <n v="83477"/>
    <x v="242"/>
    <n v="0.97"/>
    <n v="6.29"/>
    <n v="1.2"/>
    <n v="10"/>
    <x v="538"/>
    <n v="78907059"/>
    <x v="819"/>
  </r>
  <r>
    <x v="4"/>
    <x v="2"/>
    <x v="8"/>
    <x v="7"/>
    <x v="1"/>
    <x v="1"/>
    <n v="67769"/>
    <n v="164161"/>
    <x v="153"/>
    <n v="0.97"/>
    <n v="6.29"/>
    <n v="1.2"/>
    <n v="2"/>
    <x v="539"/>
    <n v="74207055"/>
    <x v="820"/>
  </r>
  <r>
    <x v="9"/>
    <x v="6"/>
    <x v="9"/>
    <x v="8"/>
    <x v="0"/>
    <x v="3"/>
    <n v="59700"/>
    <n v="364853"/>
    <x v="333"/>
    <n v="0.97"/>
    <n v="6.29"/>
    <n v="1.2"/>
    <n v="10"/>
    <x v="468"/>
    <n v="28775400"/>
    <x v="821"/>
  </r>
  <r>
    <x v="3"/>
    <x v="9"/>
    <x v="3"/>
    <x v="6"/>
    <x v="1"/>
    <x v="0"/>
    <n v="115356"/>
    <n v="209788"/>
    <x v="334"/>
    <n v="0.97"/>
    <n v="6.29"/>
    <n v="1.2"/>
    <n v="9"/>
    <x v="306"/>
    <n v="113048880"/>
    <x v="822"/>
  </r>
  <r>
    <x v="6"/>
    <x v="9"/>
    <x v="9"/>
    <x v="7"/>
    <x v="1"/>
    <x v="3"/>
    <n v="111427"/>
    <n v="390281"/>
    <x v="119"/>
    <n v="0.97"/>
    <n v="6.29"/>
    <n v="1.2"/>
    <n v="3"/>
    <x v="540"/>
    <n v="119784025"/>
    <x v="823"/>
  </r>
  <r>
    <x v="1"/>
    <x v="8"/>
    <x v="2"/>
    <x v="1"/>
    <x v="1"/>
    <x v="1"/>
    <n v="40269"/>
    <n v="348162"/>
    <x v="46"/>
    <n v="0.97"/>
    <n v="6.29"/>
    <n v="1.2"/>
    <n v="10"/>
    <x v="49"/>
    <n v="19168044"/>
    <x v="824"/>
  </r>
  <r>
    <x v="4"/>
    <x v="0"/>
    <x v="7"/>
    <x v="1"/>
    <x v="1"/>
    <x v="0"/>
    <n v="78880"/>
    <n v="189133"/>
    <x v="21"/>
    <n v="0.97"/>
    <n v="6.29"/>
    <n v="1.2"/>
    <n v="7"/>
    <x v="541"/>
    <n v="88503360"/>
    <x v="825"/>
  </r>
  <r>
    <x v="7"/>
    <x v="10"/>
    <x v="4"/>
    <x v="0"/>
    <x v="0"/>
    <x v="3"/>
    <n v="43320"/>
    <n v="189681"/>
    <x v="87"/>
    <n v="0.97"/>
    <n v="6.29"/>
    <n v="1.2"/>
    <n v="4"/>
    <x v="421"/>
    <n v="27768120"/>
    <x v="826"/>
  </r>
  <r>
    <x v="2"/>
    <x v="2"/>
    <x v="5"/>
    <x v="2"/>
    <x v="1"/>
    <x v="1"/>
    <n v="84589"/>
    <n v="347515"/>
    <x v="250"/>
    <n v="0.97"/>
    <n v="6.29"/>
    <n v="1.2"/>
    <n v="6"/>
    <x v="542"/>
    <n v="69362980"/>
    <x v="827"/>
  </r>
  <r>
    <x v="6"/>
    <x v="0"/>
    <x v="4"/>
    <x v="1"/>
    <x v="1"/>
    <x v="1"/>
    <n v="111276"/>
    <n v="291422"/>
    <x v="335"/>
    <n v="0.97"/>
    <n v="6.29"/>
    <n v="1.2"/>
    <n v="4"/>
    <x v="543"/>
    <n v="87796764"/>
    <x v="828"/>
  </r>
  <r>
    <x v="3"/>
    <x v="5"/>
    <x v="0"/>
    <x v="1"/>
    <x v="1"/>
    <x v="2"/>
    <n v="70897"/>
    <n v="395165"/>
    <x v="189"/>
    <n v="0.97"/>
    <n v="6.29"/>
    <n v="1.2"/>
    <n v="10"/>
    <x v="544"/>
    <n v="69833545"/>
    <x v="829"/>
  </r>
  <r>
    <x v="9"/>
    <x v="6"/>
    <x v="6"/>
    <x v="9"/>
    <x v="0"/>
    <x v="1"/>
    <n v="93565"/>
    <n v="464021"/>
    <x v="283"/>
    <n v="0.97"/>
    <n v="6.29"/>
    <n v="1.2"/>
    <n v="7"/>
    <x v="498"/>
    <n v="86828320"/>
    <x v="830"/>
  </r>
  <r>
    <x v="8"/>
    <x v="1"/>
    <x v="0"/>
    <x v="0"/>
    <x v="0"/>
    <x v="3"/>
    <n v="65930"/>
    <n v="320001"/>
    <x v="129"/>
    <n v="0.97"/>
    <n v="6.29"/>
    <n v="1.2"/>
    <n v="1"/>
    <x v="545"/>
    <n v="19844930"/>
    <x v="831"/>
  </r>
  <r>
    <x v="3"/>
    <x v="4"/>
    <x v="0"/>
    <x v="7"/>
    <x v="1"/>
    <x v="0"/>
    <n v="92233"/>
    <n v="192692"/>
    <x v="24"/>
    <n v="0.97"/>
    <n v="6.29"/>
    <n v="1.2"/>
    <n v="3"/>
    <x v="546"/>
    <n v="6456310"/>
    <x v="832"/>
  </r>
  <r>
    <x v="6"/>
    <x v="5"/>
    <x v="2"/>
    <x v="2"/>
    <x v="1"/>
    <x v="2"/>
    <n v="117821"/>
    <n v="58177"/>
    <x v="336"/>
    <n v="0.97"/>
    <n v="6.29"/>
    <n v="1.2"/>
    <n v="3"/>
    <x v="183"/>
    <n v="77054934"/>
    <x v="833"/>
  </r>
  <r>
    <x v="3"/>
    <x v="4"/>
    <x v="3"/>
    <x v="3"/>
    <x v="1"/>
    <x v="1"/>
    <n v="49380"/>
    <n v="473327"/>
    <x v="316"/>
    <n v="0.97"/>
    <n v="6.29"/>
    <n v="1.2"/>
    <n v="1"/>
    <x v="547"/>
    <n v="28837920"/>
    <x v="834"/>
  </r>
  <r>
    <x v="6"/>
    <x v="2"/>
    <x v="5"/>
    <x v="6"/>
    <x v="1"/>
    <x v="1"/>
    <n v="111896"/>
    <n v="301842"/>
    <x v="2"/>
    <n v="0.97"/>
    <n v="6.29"/>
    <n v="1.2"/>
    <n v="6"/>
    <x v="46"/>
    <n v="44310816"/>
    <x v="835"/>
  </r>
  <r>
    <x v="6"/>
    <x v="2"/>
    <x v="5"/>
    <x v="5"/>
    <x v="0"/>
    <x v="1"/>
    <n v="105934"/>
    <n v="400722"/>
    <x v="219"/>
    <n v="0.97"/>
    <n v="6.29"/>
    <n v="1.2"/>
    <n v="9"/>
    <x v="548"/>
    <n v="25212292"/>
    <x v="836"/>
  </r>
  <r>
    <x v="0"/>
    <x v="4"/>
    <x v="0"/>
    <x v="8"/>
    <x v="0"/>
    <x v="3"/>
    <n v="90830"/>
    <n v="139941"/>
    <x v="61"/>
    <n v="0.97"/>
    <n v="6.29"/>
    <n v="1.2"/>
    <n v="8"/>
    <x v="549"/>
    <n v="57132070"/>
    <x v="837"/>
  </r>
  <r>
    <x v="1"/>
    <x v="2"/>
    <x v="9"/>
    <x v="1"/>
    <x v="1"/>
    <x v="2"/>
    <n v="40529"/>
    <n v="308121"/>
    <x v="282"/>
    <n v="0.97"/>
    <n v="6.29"/>
    <n v="1.2"/>
    <n v="7"/>
    <x v="308"/>
    <n v="26830198"/>
    <x v="838"/>
  </r>
  <r>
    <x v="2"/>
    <x v="1"/>
    <x v="2"/>
    <x v="0"/>
    <x v="0"/>
    <x v="3"/>
    <n v="117987"/>
    <n v="61826"/>
    <x v="49"/>
    <n v="0.97"/>
    <n v="6.29"/>
    <n v="1.2"/>
    <n v="10"/>
    <x v="550"/>
    <n v="9438960"/>
    <x v="839"/>
  </r>
  <r>
    <x v="0"/>
    <x v="11"/>
    <x v="0"/>
    <x v="5"/>
    <x v="0"/>
    <x v="2"/>
    <n v="84178"/>
    <n v="194962"/>
    <x v="184"/>
    <n v="0.97"/>
    <n v="6.29"/>
    <n v="1.2"/>
    <n v="8"/>
    <x v="551"/>
    <n v="33755378"/>
    <x v="840"/>
  </r>
  <r>
    <x v="9"/>
    <x v="0"/>
    <x v="7"/>
    <x v="8"/>
    <x v="0"/>
    <x v="0"/>
    <n v="41937"/>
    <n v="394572"/>
    <x v="337"/>
    <n v="0.97"/>
    <n v="6.29"/>
    <n v="1.2"/>
    <n v="6"/>
    <x v="16"/>
    <n v="24658956"/>
    <x v="841"/>
  </r>
  <r>
    <x v="0"/>
    <x v="9"/>
    <x v="6"/>
    <x v="8"/>
    <x v="0"/>
    <x v="3"/>
    <n v="74886"/>
    <n v="176044"/>
    <x v="207"/>
    <n v="0.97"/>
    <n v="6.29"/>
    <n v="1.2"/>
    <n v="9"/>
    <x v="400"/>
    <n v="70018410"/>
    <x v="842"/>
  </r>
  <r>
    <x v="5"/>
    <x v="7"/>
    <x v="3"/>
    <x v="3"/>
    <x v="1"/>
    <x v="3"/>
    <n v="84699"/>
    <n v="239103"/>
    <x v="191"/>
    <n v="0.97"/>
    <n v="6.29"/>
    <n v="1.2"/>
    <n v="3"/>
    <x v="195"/>
    <n v="67420404"/>
    <x v="843"/>
  </r>
  <r>
    <x v="5"/>
    <x v="4"/>
    <x v="8"/>
    <x v="3"/>
    <x v="1"/>
    <x v="0"/>
    <n v="111396"/>
    <n v="387164"/>
    <x v="183"/>
    <n v="0.97"/>
    <n v="6.29"/>
    <n v="1.2"/>
    <n v="10"/>
    <x v="489"/>
    <n v="107385744"/>
    <x v="844"/>
  </r>
  <r>
    <x v="2"/>
    <x v="6"/>
    <x v="7"/>
    <x v="3"/>
    <x v="1"/>
    <x v="2"/>
    <n v="60279"/>
    <n v="55495"/>
    <x v="284"/>
    <n v="0.97"/>
    <n v="6.29"/>
    <n v="1.2"/>
    <n v="10"/>
    <x v="552"/>
    <n v="18807048"/>
    <x v="845"/>
  </r>
  <r>
    <x v="3"/>
    <x v="5"/>
    <x v="9"/>
    <x v="4"/>
    <x v="0"/>
    <x v="1"/>
    <n v="73106"/>
    <n v="78481"/>
    <x v="150"/>
    <n v="0.97"/>
    <n v="6.29"/>
    <n v="1.2"/>
    <n v="9"/>
    <x v="317"/>
    <n v="71424562"/>
    <x v="846"/>
  </r>
  <r>
    <x v="1"/>
    <x v="11"/>
    <x v="4"/>
    <x v="4"/>
    <x v="0"/>
    <x v="0"/>
    <n v="114737"/>
    <n v="192339"/>
    <x v="154"/>
    <n v="0.97"/>
    <n v="6.29"/>
    <n v="1.2"/>
    <n v="4"/>
    <x v="553"/>
    <n v="85708539"/>
    <x v="847"/>
  </r>
  <r>
    <x v="2"/>
    <x v="4"/>
    <x v="4"/>
    <x v="8"/>
    <x v="0"/>
    <x v="1"/>
    <n v="75544"/>
    <n v="430041"/>
    <x v="53"/>
    <n v="0.97"/>
    <n v="6.29"/>
    <n v="1.2"/>
    <n v="7"/>
    <x v="333"/>
    <n v="43891064"/>
    <x v="848"/>
  </r>
  <r>
    <x v="6"/>
    <x v="11"/>
    <x v="7"/>
    <x v="3"/>
    <x v="1"/>
    <x v="1"/>
    <n v="43997"/>
    <n v="286774"/>
    <x v="227"/>
    <n v="0.97"/>
    <n v="6.29"/>
    <n v="1.2"/>
    <n v="9"/>
    <x v="33"/>
    <n v="17114833"/>
    <x v="849"/>
  </r>
  <r>
    <x v="7"/>
    <x v="11"/>
    <x v="0"/>
    <x v="9"/>
    <x v="0"/>
    <x v="0"/>
    <n v="75860"/>
    <n v="187815"/>
    <x v="14"/>
    <n v="0.97"/>
    <n v="6.29"/>
    <n v="1.2"/>
    <n v="2"/>
    <x v="554"/>
    <n v="25033800"/>
    <x v="850"/>
  </r>
  <r>
    <x v="1"/>
    <x v="4"/>
    <x v="8"/>
    <x v="1"/>
    <x v="1"/>
    <x v="2"/>
    <n v="38225"/>
    <n v="498016"/>
    <x v="317"/>
    <n v="0.97"/>
    <n v="6.29"/>
    <n v="1.2"/>
    <n v="2"/>
    <x v="372"/>
    <n v="42735550"/>
    <x v="851"/>
  </r>
  <r>
    <x v="1"/>
    <x v="8"/>
    <x v="1"/>
    <x v="5"/>
    <x v="0"/>
    <x v="1"/>
    <n v="94470"/>
    <n v="153475"/>
    <x v="98"/>
    <n v="0.97"/>
    <n v="6.29"/>
    <n v="1.2"/>
    <n v="9"/>
    <x v="555"/>
    <n v="69246510"/>
    <x v="852"/>
  </r>
  <r>
    <x v="6"/>
    <x v="10"/>
    <x v="1"/>
    <x v="5"/>
    <x v="0"/>
    <x v="0"/>
    <n v="98656"/>
    <n v="229845"/>
    <x v="63"/>
    <n v="0.97"/>
    <n v="6.29"/>
    <n v="1.2"/>
    <n v="3"/>
    <x v="376"/>
    <n v="47256224"/>
    <x v="853"/>
  </r>
  <r>
    <x v="6"/>
    <x v="6"/>
    <x v="9"/>
    <x v="4"/>
    <x v="0"/>
    <x v="3"/>
    <n v="86880"/>
    <n v="369186"/>
    <x v="260"/>
    <n v="0.97"/>
    <n v="6.29"/>
    <n v="1.2"/>
    <n v="9"/>
    <x v="556"/>
    <n v="16854720"/>
    <x v="854"/>
  </r>
  <r>
    <x v="8"/>
    <x v="9"/>
    <x v="0"/>
    <x v="8"/>
    <x v="0"/>
    <x v="3"/>
    <n v="96078"/>
    <n v="99476"/>
    <x v="97"/>
    <n v="0.97"/>
    <n v="6.29"/>
    <n v="1.2"/>
    <n v="5"/>
    <x v="448"/>
    <n v="61201686"/>
    <x v="855"/>
  </r>
  <r>
    <x v="2"/>
    <x v="9"/>
    <x v="5"/>
    <x v="0"/>
    <x v="0"/>
    <x v="3"/>
    <n v="111290"/>
    <n v="273177"/>
    <x v="208"/>
    <n v="0.97"/>
    <n v="6.29"/>
    <n v="1.2"/>
    <n v="6"/>
    <x v="557"/>
    <n v="30827330"/>
    <x v="856"/>
  </r>
  <r>
    <x v="6"/>
    <x v="6"/>
    <x v="5"/>
    <x v="7"/>
    <x v="1"/>
    <x v="0"/>
    <n v="91633"/>
    <n v="340696"/>
    <x v="262"/>
    <n v="0.97"/>
    <n v="6.29"/>
    <n v="1.2"/>
    <n v="2"/>
    <x v="85"/>
    <n v="45999766"/>
    <x v="857"/>
  </r>
  <r>
    <x v="5"/>
    <x v="8"/>
    <x v="3"/>
    <x v="7"/>
    <x v="1"/>
    <x v="3"/>
    <n v="61655"/>
    <n v="246314"/>
    <x v="17"/>
    <n v="0.97"/>
    <n v="6.29"/>
    <n v="1.2"/>
    <n v="8"/>
    <x v="88"/>
    <n v="65724230"/>
    <x v="858"/>
  </r>
  <r>
    <x v="9"/>
    <x v="2"/>
    <x v="8"/>
    <x v="4"/>
    <x v="0"/>
    <x v="1"/>
    <n v="78601"/>
    <n v="488988"/>
    <x v="29"/>
    <n v="0.97"/>
    <n v="6.29"/>
    <n v="1.2"/>
    <n v="9"/>
    <x v="558"/>
    <n v="63666810"/>
    <x v="859"/>
  </r>
  <r>
    <x v="7"/>
    <x v="9"/>
    <x v="8"/>
    <x v="0"/>
    <x v="0"/>
    <x v="3"/>
    <n v="38114"/>
    <n v="486946"/>
    <x v="168"/>
    <n v="0.97"/>
    <n v="6.29"/>
    <n v="1.2"/>
    <n v="2"/>
    <x v="559"/>
    <n v="36894352"/>
    <x v="860"/>
  </r>
  <r>
    <x v="2"/>
    <x v="11"/>
    <x v="4"/>
    <x v="4"/>
    <x v="0"/>
    <x v="3"/>
    <n v="61502"/>
    <n v="210020"/>
    <x v="91"/>
    <n v="0.97"/>
    <n v="6.29"/>
    <n v="1.2"/>
    <n v="6"/>
    <x v="560"/>
    <n v="16605540"/>
    <x v="861"/>
  </r>
  <r>
    <x v="4"/>
    <x v="1"/>
    <x v="2"/>
    <x v="7"/>
    <x v="1"/>
    <x v="1"/>
    <n v="84768"/>
    <n v="257383"/>
    <x v="296"/>
    <n v="0.97"/>
    <n v="6.29"/>
    <n v="1.2"/>
    <n v="6"/>
    <x v="97"/>
    <n v="38230368"/>
    <x v="862"/>
  </r>
  <r>
    <x v="5"/>
    <x v="5"/>
    <x v="9"/>
    <x v="0"/>
    <x v="0"/>
    <x v="3"/>
    <n v="83128"/>
    <n v="119093"/>
    <x v="37"/>
    <n v="0.97"/>
    <n v="6.29"/>
    <n v="1.2"/>
    <n v="8"/>
    <x v="391"/>
    <n v="42561536"/>
    <x v="863"/>
  </r>
  <r>
    <x v="3"/>
    <x v="0"/>
    <x v="1"/>
    <x v="3"/>
    <x v="1"/>
    <x v="1"/>
    <n v="55028"/>
    <n v="119123"/>
    <x v="115"/>
    <n v="0.97"/>
    <n v="6.29"/>
    <n v="1.2"/>
    <n v="10"/>
    <x v="135"/>
    <n v="37694180"/>
    <x v="864"/>
  </r>
  <r>
    <x v="6"/>
    <x v="9"/>
    <x v="9"/>
    <x v="8"/>
    <x v="0"/>
    <x v="3"/>
    <n v="90565"/>
    <n v="66535"/>
    <x v="123"/>
    <n v="0.97"/>
    <n v="6.29"/>
    <n v="1.2"/>
    <n v="5"/>
    <x v="243"/>
    <n v="95183815"/>
    <x v="865"/>
  </r>
  <r>
    <x v="4"/>
    <x v="6"/>
    <x v="5"/>
    <x v="5"/>
    <x v="0"/>
    <x v="1"/>
    <n v="118123"/>
    <n v="378634"/>
    <x v="89"/>
    <n v="0.97"/>
    <n v="6.29"/>
    <n v="1.2"/>
    <n v="9"/>
    <x v="561"/>
    <n v="107728176"/>
    <x v="866"/>
  </r>
  <r>
    <x v="6"/>
    <x v="1"/>
    <x v="5"/>
    <x v="9"/>
    <x v="0"/>
    <x v="3"/>
    <n v="70333"/>
    <n v="96562"/>
    <x v="338"/>
    <n v="0.97"/>
    <n v="6.29"/>
    <n v="1.2"/>
    <n v="1"/>
    <x v="562"/>
    <n v="26445208"/>
    <x v="867"/>
  </r>
  <r>
    <x v="1"/>
    <x v="4"/>
    <x v="7"/>
    <x v="2"/>
    <x v="1"/>
    <x v="1"/>
    <n v="38174"/>
    <n v="431186"/>
    <x v="124"/>
    <n v="0.97"/>
    <n v="6.29"/>
    <n v="1.2"/>
    <n v="9"/>
    <x v="228"/>
    <n v="16033080"/>
    <x v="868"/>
  </r>
  <r>
    <x v="5"/>
    <x v="10"/>
    <x v="3"/>
    <x v="8"/>
    <x v="0"/>
    <x v="0"/>
    <n v="70398"/>
    <n v="306323"/>
    <x v="11"/>
    <n v="0.97"/>
    <n v="6.29"/>
    <n v="1.2"/>
    <n v="10"/>
    <x v="63"/>
    <n v="66948498"/>
    <x v="869"/>
  </r>
  <r>
    <x v="1"/>
    <x v="6"/>
    <x v="8"/>
    <x v="3"/>
    <x v="1"/>
    <x v="1"/>
    <n v="70929"/>
    <n v="401224"/>
    <x v="128"/>
    <n v="0.97"/>
    <n v="6.29"/>
    <n v="1.2"/>
    <n v="7"/>
    <x v="367"/>
    <n v="61637301"/>
    <x v="870"/>
  </r>
  <r>
    <x v="8"/>
    <x v="2"/>
    <x v="6"/>
    <x v="7"/>
    <x v="1"/>
    <x v="3"/>
    <n v="39321"/>
    <n v="308916"/>
    <x v="222"/>
    <n v="0.97"/>
    <n v="6.29"/>
    <n v="1.2"/>
    <n v="4"/>
    <x v="207"/>
    <n v="14430807"/>
    <x v="871"/>
  </r>
  <r>
    <x v="1"/>
    <x v="11"/>
    <x v="9"/>
    <x v="3"/>
    <x v="1"/>
    <x v="3"/>
    <n v="90421"/>
    <n v="239607"/>
    <x v="30"/>
    <n v="0.97"/>
    <n v="6.29"/>
    <n v="1.2"/>
    <n v="3"/>
    <x v="436"/>
    <n v="53438811"/>
    <x v="872"/>
  </r>
  <r>
    <x v="8"/>
    <x v="10"/>
    <x v="5"/>
    <x v="4"/>
    <x v="0"/>
    <x v="2"/>
    <n v="107635"/>
    <n v="280063"/>
    <x v="207"/>
    <n v="0.97"/>
    <n v="6.29"/>
    <n v="1.2"/>
    <n v="10"/>
    <x v="308"/>
    <n v="71254370"/>
    <x v="873"/>
  </r>
  <r>
    <x v="8"/>
    <x v="5"/>
    <x v="2"/>
    <x v="0"/>
    <x v="0"/>
    <x v="1"/>
    <n v="58760"/>
    <n v="91269"/>
    <x v="136"/>
    <n v="0.97"/>
    <n v="6.29"/>
    <n v="1.2"/>
    <n v="6"/>
    <x v="145"/>
    <n v="53824160"/>
    <x v="874"/>
  </r>
  <r>
    <x v="4"/>
    <x v="5"/>
    <x v="4"/>
    <x v="5"/>
    <x v="0"/>
    <x v="0"/>
    <n v="46360"/>
    <n v="130674"/>
    <x v="256"/>
    <n v="0.97"/>
    <n v="6.29"/>
    <n v="1.2"/>
    <n v="1"/>
    <x v="563"/>
    <n v="32220200"/>
    <x v="875"/>
  </r>
  <r>
    <x v="6"/>
    <x v="8"/>
    <x v="1"/>
    <x v="1"/>
    <x v="1"/>
    <x v="1"/>
    <n v="45313"/>
    <n v="354606"/>
    <x v="161"/>
    <n v="0.97"/>
    <n v="6.29"/>
    <n v="1.2"/>
    <n v="3"/>
    <x v="132"/>
    <n v="24015890"/>
    <x v="876"/>
  </r>
  <r>
    <x v="3"/>
    <x v="7"/>
    <x v="3"/>
    <x v="4"/>
    <x v="0"/>
    <x v="1"/>
    <n v="40801"/>
    <n v="446343"/>
    <x v="201"/>
    <n v="0.97"/>
    <n v="6.29"/>
    <n v="1.2"/>
    <n v="2"/>
    <x v="115"/>
    <n v="29213516"/>
    <x v="877"/>
  </r>
  <r>
    <x v="1"/>
    <x v="8"/>
    <x v="2"/>
    <x v="8"/>
    <x v="0"/>
    <x v="0"/>
    <n v="49130"/>
    <n v="335291"/>
    <x v="68"/>
    <n v="0.97"/>
    <n v="6.29"/>
    <n v="1.2"/>
    <n v="9"/>
    <x v="271"/>
    <n v="26186290"/>
    <x v="878"/>
  </r>
  <r>
    <x v="5"/>
    <x v="2"/>
    <x v="3"/>
    <x v="4"/>
    <x v="0"/>
    <x v="1"/>
    <n v="49271"/>
    <n v="488744"/>
    <x v="21"/>
    <n v="0.97"/>
    <n v="6.29"/>
    <n v="1.2"/>
    <n v="3"/>
    <x v="173"/>
    <n v="47645057"/>
    <x v="879"/>
  </r>
  <r>
    <x v="8"/>
    <x v="1"/>
    <x v="7"/>
    <x v="8"/>
    <x v="0"/>
    <x v="0"/>
    <n v="51075"/>
    <n v="127095"/>
    <x v="151"/>
    <n v="0.97"/>
    <n v="6.29"/>
    <n v="1.2"/>
    <n v="2"/>
    <x v="161"/>
    <n v="19817100"/>
    <x v="880"/>
  </r>
  <r>
    <x v="6"/>
    <x v="10"/>
    <x v="6"/>
    <x v="1"/>
    <x v="1"/>
    <x v="0"/>
    <n v="53984"/>
    <n v="294172"/>
    <x v="27"/>
    <n v="0.97"/>
    <n v="6.29"/>
    <n v="1.2"/>
    <n v="4"/>
    <x v="394"/>
    <n v="29421280"/>
    <x v="881"/>
  </r>
  <r>
    <x v="7"/>
    <x v="7"/>
    <x v="5"/>
    <x v="6"/>
    <x v="1"/>
    <x v="1"/>
    <n v="95942"/>
    <n v="250003"/>
    <x v="191"/>
    <n v="0.97"/>
    <n v="6.29"/>
    <n v="1.2"/>
    <n v="2"/>
    <x v="564"/>
    <n v="85580264"/>
    <x v="882"/>
  </r>
  <r>
    <x v="2"/>
    <x v="4"/>
    <x v="4"/>
    <x v="5"/>
    <x v="0"/>
    <x v="1"/>
    <n v="47861"/>
    <n v="140925"/>
    <x v="167"/>
    <n v="0.97"/>
    <n v="6.29"/>
    <n v="1.2"/>
    <n v="1"/>
    <x v="565"/>
    <n v="32019009"/>
    <x v="883"/>
  </r>
  <r>
    <x v="4"/>
    <x v="11"/>
    <x v="2"/>
    <x v="9"/>
    <x v="0"/>
    <x v="3"/>
    <n v="117203"/>
    <n v="116381"/>
    <x v="57"/>
    <n v="0.97"/>
    <n v="6.29"/>
    <n v="1.2"/>
    <n v="6"/>
    <x v="566"/>
    <n v="108529978"/>
    <x v="884"/>
  </r>
  <r>
    <x v="3"/>
    <x v="10"/>
    <x v="3"/>
    <x v="9"/>
    <x v="0"/>
    <x v="3"/>
    <n v="106376"/>
    <n v="149468"/>
    <x v="339"/>
    <n v="0.97"/>
    <n v="6.29"/>
    <n v="1.2"/>
    <n v="10"/>
    <x v="124"/>
    <n v="79675624"/>
    <x v="885"/>
  </r>
  <r>
    <x v="0"/>
    <x v="8"/>
    <x v="8"/>
    <x v="2"/>
    <x v="1"/>
    <x v="2"/>
    <n v="96247"/>
    <n v="292330"/>
    <x v="133"/>
    <n v="0.97"/>
    <n v="6.29"/>
    <n v="1.2"/>
    <n v="8"/>
    <x v="567"/>
    <n v="13089592"/>
    <x v="886"/>
  </r>
  <r>
    <x v="4"/>
    <x v="0"/>
    <x v="7"/>
    <x v="3"/>
    <x v="1"/>
    <x v="2"/>
    <n v="104101"/>
    <n v="375893"/>
    <x v="278"/>
    <n v="0.97"/>
    <n v="6.29"/>
    <n v="1.2"/>
    <n v="10"/>
    <x v="568"/>
    <n v="75681427"/>
    <x v="887"/>
  </r>
  <r>
    <x v="7"/>
    <x v="3"/>
    <x v="8"/>
    <x v="6"/>
    <x v="1"/>
    <x v="1"/>
    <n v="55977"/>
    <n v="481888"/>
    <x v="227"/>
    <n v="0.97"/>
    <n v="6.29"/>
    <n v="1.2"/>
    <n v="10"/>
    <x v="569"/>
    <n v="33586200"/>
    <x v="888"/>
  </r>
  <r>
    <x v="2"/>
    <x v="7"/>
    <x v="4"/>
    <x v="9"/>
    <x v="0"/>
    <x v="0"/>
    <n v="85617"/>
    <n v="63731"/>
    <x v="316"/>
    <n v="0.97"/>
    <n v="6.29"/>
    <n v="1.2"/>
    <n v="2"/>
    <x v="240"/>
    <n v="57705858"/>
    <x v="889"/>
  </r>
  <r>
    <x v="7"/>
    <x v="7"/>
    <x v="2"/>
    <x v="4"/>
    <x v="0"/>
    <x v="2"/>
    <n v="92473"/>
    <n v="436791"/>
    <x v="116"/>
    <n v="0.97"/>
    <n v="6.29"/>
    <n v="1.2"/>
    <n v="9"/>
    <x v="400"/>
    <n v="86462255"/>
    <x v="890"/>
  </r>
  <r>
    <x v="1"/>
    <x v="2"/>
    <x v="7"/>
    <x v="3"/>
    <x v="1"/>
    <x v="1"/>
    <n v="107902"/>
    <n v="497728"/>
    <x v="144"/>
    <n v="0.97"/>
    <n v="6.29"/>
    <n v="1.2"/>
    <n v="3"/>
    <x v="310"/>
    <n v="77581538"/>
    <x v="891"/>
  </r>
  <r>
    <x v="8"/>
    <x v="11"/>
    <x v="2"/>
    <x v="6"/>
    <x v="1"/>
    <x v="2"/>
    <n v="50630"/>
    <n v="101024"/>
    <x v="37"/>
    <n v="0.97"/>
    <n v="6.29"/>
    <n v="1.2"/>
    <n v="8"/>
    <x v="128"/>
    <n v="39491400"/>
    <x v="892"/>
  </r>
  <r>
    <x v="3"/>
    <x v="9"/>
    <x v="5"/>
    <x v="0"/>
    <x v="0"/>
    <x v="0"/>
    <n v="55056"/>
    <n v="166712"/>
    <x v="226"/>
    <n v="0.97"/>
    <n v="6.29"/>
    <n v="1.2"/>
    <n v="8"/>
    <x v="570"/>
    <n v="50266128"/>
    <x v="893"/>
  </r>
  <r>
    <x v="9"/>
    <x v="5"/>
    <x v="0"/>
    <x v="0"/>
    <x v="0"/>
    <x v="1"/>
    <n v="42382"/>
    <n v="151121"/>
    <x v="340"/>
    <n v="0.97"/>
    <n v="6.29"/>
    <n v="1.2"/>
    <n v="3"/>
    <x v="152"/>
    <n v="19707630"/>
    <x v="894"/>
  </r>
  <r>
    <x v="8"/>
    <x v="5"/>
    <x v="7"/>
    <x v="3"/>
    <x v="1"/>
    <x v="0"/>
    <n v="90739"/>
    <n v="315976"/>
    <x v="26"/>
    <n v="0.97"/>
    <n v="6.29"/>
    <n v="1.2"/>
    <n v="3"/>
    <x v="158"/>
    <n v="47819453"/>
    <x v="895"/>
  </r>
  <r>
    <x v="9"/>
    <x v="0"/>
    <x v="8"/>
    <x v="8"/>
    <x v="0"/>
    <x v="1"/>
    <n v="116685"/>
    <n v="82332"/>
    <x v="341"/>
    <n v="0.97"/>
    <n v="6.29"/>
    <n v="1.2"/>
    <n v="6"/>
    <x v="571"/>
    <n v="105016500"/>
    <x v="896"/>
  </r>
  <r>
    <x v="2"/>
    <x v="1"/>
    <x v="4"/>
    <x v="8"/>
    <x v="0"/>
    <x v="2"/>
    <n v="83639"/>
    <n v="62467"/>
    <x v="220"/>
    <n v="0.97"/>
    <n v="6.29"/>
    <n v="1.2"/>
    <n v="1"/>
    <x v="572"/>
    <n v="68834897"/>
    <x v="897"/>
  </r>
  <r>
    <x v="6"/>
    <x v="2"/>
    <x v="6"/>
    <x v="4"/>
    <x v="0"/>
    <x v="3"/>
    <n v="94838"/>
    <n v="91025"/>
    <x v="103"/>
    <n v="0.97"/>
    <n v="6.29"/>
    <n v="1.2"/>
    <n v="4"/>
    <x v="573"/>
    <n v="53109280"/>
    <x v="898"/>
  </r>
  <r>
    <x v="0"/>
    <x v="1"/>
    <x v="5"/>
    <x v="6"/>
    <x v="1"/>
    <x v="2"/>
    <n v="81041"/>
    <n v="194179"/>
    <x v="177"/>
    <n v="0.97"/>
    <n v="6.29"/>
    <n v="1.2"/>
    <n v="1"/>
    <x v="351"/>
    <n v="51542076"/>
    <x v="899"/>
  </r>
  <r>
    <x v="5"/>
    <x v="4"/>
    <x v="0"/>
    <x v="6"/>
    <x v="1"/>
    <x v="2"/>
    <n v="35992"/>
    <n v="127994"/>
    <x v="342"/>
    <n v="0.97"/>
    <n v="6.29"/>
    <n v="1.2"/>
    <n v="3"/>
    <x v="574"/>
    <n v="32644744"/>
    <x v="900"/>
  </r>
  <r>
    <x v="8"/>
    <x v="10"/>
    <x v="6"/>
    <x v="3"/>
    <x v="1"/>
    <x v="3"/>
    <n v="107394"/>
    <n v="144202"/>
    <x v="204"/>
    <n v="0.97"/>
    <n v="6.29"/>
    <n v="1.2"/>
    <n v="9"/>
    <x v="534"/>
    <n v="24056256"/>
    <x v="901"/>
  </r>
  <r>
    <x v="3"/>
    <x v="3"/>
    <x v="1"/>
    <x v="7"/>
    <x v="1"/>
    <x v="3"/>
    <n v="102657"/>
    <n v="93481"/>
    <x v="0"/>
    <n v="0.97"/>
    <n v="6.29"/>
    <n v="1.2"/>
    <n v="5"/>
    <x v="575"/>
    <n v="19094202"/>
    <x v="902"/>
  </r>
  <r>
    <x v="7"/>
    <x v="6"/>
    <x v="5"/>
    <x v="0"/>
    <x v="0"/>
    <x v="1"/>
    <n v="62160"/>
    <n v="445797"/>
    <x v="323"/>
    <n v="0.97"/>
    <n v="6.29"/>
    <n v="1.2"/>
    <n v="5"/>
    <x v="374"/>
    <n v="25236960"/>
    <x v="903"/>
  </r>
  <r>
    <x v="3"/>
    <x v="9"/>
    <x v="4"/>
    <x v="6"/>
    <x v="1"/>
    <x v="1"/>
    <n v="80156"/>
    <n v="125118"/>
    <x v="208"/>
    <n v="0.97"/>
    <n v="6.29"/>
    <n v="1.2"/>
    <n v="4"/>
    <x v="576"/>
    <n v="36470980"/>
    <x v="904"/>
  </r>
  <r>
    <x v="2"/>
    <x v="8"/>
    <x v="3"/>
    <x v="3"/>
    <x v="1"/>
    <x v="0"/>
    <n v="86375"/>
    <n v="436154"/>
    <x v="313"/>
    <n v="0.97"/>
    <n v="6.29"/>
    <n v="1.2"/>
    <n v="3"/>
    <x v="384"/>
    <n v="61412625"/>
    <x v="905"/>
  </r>
  <r>
    <x v="9"/>
    <x v="6"/>
    <x v="7"/>
    <x v="1"/>
    <x v="1"/>
    <x v="0"/>
    <n v="54572"/>
    <n v="494854"/>
    <x v="44"/>
    <n v="0.97"/>
    <n v="6.29"/>
    <n v="1.2"/>
    <n v="5"/>
    <x v="577"/>
    <n v="13806716"/>
    <x v="906"/>
  </r>
  <r>
    <x v="7"/>
    <x v="6"/>
    <x v="2"/>
    <x v="2"/>
    <x v="1"/>
    <x v="2"/>
    <n v="39136"/>
    <n v="173714"/>
    <x v="79"/>
    <n v="0.97"/>
    <n v="6.29"/>
    <n v="1.2"/>
    <n v="4"/>
    <x v="444"/>
    <n v="15145632"/>
    <x v="907"/>
  </r>
  <r>
    <x v="5"/>
    <x v="2"/>
    <x v="4"/>
    <x v="1"/>
    <x v="1"/>
    <x v="3"/>
    <n v="96868"/>
    <n v="451634"/>
    <x v="200"/>
    <n v="0.97"/>
    <n v="6.29"/>
    <n v="1.2"/>
    <n v="8"/>
    <x v="576"/>
    <n v="44074940"/>
    <x v="908"/>
  </r>
  <r>
    <x v="5"/>
    <x v="7"/>
    <x v="7"/>
    <x v="5"/>
    <x v="0"/>
    <x v="0"/>
    <n v="117263"/>
    <n v="274699"/>
    <x v="343"/>
    <n v="0.97"/>
    <n v="6.29"/>
    <n v="1.2"/>
    <n v="4"/>
    <x v="95"/>
    <n v="103191440"/>
    <x v="909"/>
  </r>
  <r>
    <x v="8"/>
    <x v="0"/>
    <x v="6"/>
    <x v="4"/>
    <x v="0"/>
    <x v="2"/>
    <n v="67167"/>
    <n v="210185"/>
    <x v="252"/>
    <n v="0.97"/>
    <n v="6.29"/>
    <n v="1.2"/>
    <n v="8"/>
    <x v="40"/>
    <n v="25523460"/>
    <x v="910"/>
  </r>
  <r>
    <x v="2"/>
    <x v="5"/>
    <x v="2"/>
    <x v="6"/>
    <x v="1"/>
    <x v="3"/>
    <n v="50479"/>
    <n v="134363"/>
    <x v="67"/>
    <n v="0.97"/>
    <n v="6.29"/>
    <n v="1.2"/>
    <n v="6"/>
    <x v="350"/>
    <n v="18778188"/>
    <x v="911"/>
  </r>
  <r>
    <x v="6"/>
    <x v="4"/>
    <x v="9"/>
    <x v="5"/>
    <x v="0"/>
    <x v="1"/>
    <n v="66376"/>
    <n v="435751"/>
    <x v="95"/>
    <n v="0.97"/>
    <n v="6.29"/>
    <n v="1.2"/>
    <n v="5"/>
    <x v="69"/>
    <n v="40489360"/>
    <x v="912"/>
  </r>
  <r>
    <x v="2"/>
    <x v="1"/>
    <x v="8"/>
    <x v="9"/>
    <x v="0"/>
    <x v="2"/>
    <n v="39823"/>
    <n v="375188"/>
    <x v="209"/>
    <n v="0.97"/>
    <n v="6.29"/>
    <n v="1.2"/>
    <n v="4"/>
    <x v="578"/>
    <n v="31619462"/>
    <x v="913"/>
  </r>
  <r>
    <x v="9"/>
    <x v="3"/>
    <x v="1"/>
    <x v="5"/>
    <x v="0"/>
    <x v="1"/>
    <n v="105456"/>
    <n v="261027"/>
    <x v="215"/>
    <n v="0.97"/>
    <n v="6.29"/>
    <n v="1.2"/>
    <n v="4"/>
    <x v="579"/>
    <n v="119165280"/>
    <x v="914"/>
  </r>
  <r>
    <x v="3"/>
    <x v="2"/>
    <x v="5"/>
    <x v="3"/>
    <x v="1"/>
    <x v="0"/>
    <n v="54585"/>
    <n v="323958"/>
    <x v="311"/>
    <n v="0.97"/>
    <n v="6.29"/>
    <n v="1.2"/>
    <n v="4"/>
    <x v="491"/>
    <n v="46997685"/>
    <x v="915"/>
  </r>
  <r>
    <x v="5"/>
    <x v="0"/>
    <x v="4"/>
    <x v="6"/>
    <x v="1"/>
    <x v="0"/>
    <n v="52272"/>
    <n v="411484"/>
    <x v="344"/>
    <n v="0.97"/>
    <n v="6.29"/>
    <n v="1.2"/>
    <n v="9"/>
    <x v="580"/>
    <n v="54153792"/>
    <x v="916"/>
  </r>
  <r>
    <x v="3"/>
    <x v="7"/>
    <x v="1"/>
    <x v="2"/>
    <x v="1"/>
    <x v="3"/>
    <n v="61619"/>
    <n v="322168"/>
    <x v="107"/>
    <n v="0.97"/>
    <n v="6.29"/>
    <n v="1.2"/>
    <n v="4"/>
    <x v="581"/>
    <n v="37341114"/>
    <x v="917"/>
  </r>
  <r>
    <x v="3"/>
    <x v="8"/>
    <x v="3"/>
    <x v="3"/>
    <x v="1"/>
    <x v="2"/>
    <n v="110069"/>
    <n v="244360"/>
    <x v="276"/>
    <n v="0.97"/>
    <n v="6.29"/>
    <n v="1.2"/>
    <n v="9"/>
    <x v="582"/>
    <n v="87064579"/>
    <x v="918"/>
  </r>
  <r>
    <x v="3"/>
    <x v="4"/>
    <x v="7"/>
    <x v="3"/>
    <x v="1"/>
    <x v="1"/>
    <n v="74895"/>
    <n v="421380"/>
    <x v="174"/>
    <n v="0.97"/>
    <n v="6.29"/>
    <n v="1.2"/>
    <n v="10"/>
    <x v="583"/>
    <n v="40967565"/>
    <x v="919"/>
  </r>
  <r>
    <x v="5"/>
    <x v="2"/>
    <x v="7"/>
    <x v="4"/>
    <x v="0"/>
    <x v="3"/>
    <n v="38720"/>
    <n v="107836"/>
    <x v="108"/>
    <n v="0.97"/>
    <n v="6.29"/>
    <n v="1.2"/>
    <n v="6"/>
    <x v="584"/>
    <n v="13513280"/>
    <x v="920"/>
  </r>
  <r>
    <x v="4"/>
    <x v="7"/>
    <x v="4"/>
    <x v="4"/>
    <x v="0"/>
    <x v="0"/>
    <n v="54267"/>
    <n v="319579"/>
    <x v="118"/>
    <n v="0.97"/>
    <n v="6.29"/>
    <n v="1.2"/>
    <n v="10"/>
    <x v="585"/>
    <n v="62352783"/>
    <x v="921"/>
  </r>
  <r>
    <x v="1"/>
    <x v="3"/>
    <x v="0"/>
    <x v="0"/>
    <x v="0"/>
    <x v="0"/>
    <n v="50696"/>
    <n v="305095"/>
    <x v="170"/>
    <n v="0.97"/>
    <n v="6.29"/>
    <n v="1.2"/>
    <n v="7"/>
    <x v="586"/>
    <n v="45525008"/>
    <x v="922"/>
  </r>
  <r>
    <x v="9"/>
    <x v="5"/>
    <x v="0"/>
    <x v="0"/>
    <x v="0"/>
    <x v="2"/>
    <n v="64968"/>
    <n v="382745"/>
    <x v="345"/>
    <n v="0.97"/>
    <n v="6.29"/>
    <n v="1.2"/>
    <n v="10"/>
    <x v="587"/>
    <n v="33913296"/>
    <x v="923"/>
  </r>
  <r>
    <x v="4"/>
    <x v="5"/>
    <x v="9"/>
    <x v="8"/>
    <x v="0"/>
    <x v="1"/>
    <n v="88364"/>
    <n v="311176"/>
    <x v="58"/>
    <n v="0.97"/>
    <n v="6.29"/>
    <n v="1.2"/>
    <n v="3"/>
    <x v="205"/>
    <n v="36317604"/>
    <x v="924"/>
  </r>
  <r>
    <x v="9"/>
    <x v="2"/>
    <x v="8"/>
    <x v="7"/>
    <x v="1"/>
    <x v="2"/>
    <n v="58345"/>
    <n v="433015"/>
    <x v="346"/>
    <n v="0.97"/>
    <n v="6.29"/>
    <n v="1.2"/>
    <n v="8"/>
    <x v="588"/>
    <n v="19487230"/>
    <x v="925"/>
  </r>
  <r>
    <x v="7"/>
    <x v="5"/>
    <x v="2"/>
    <x v="6"/>
    <x v="1"/>
    <x v="1"/>
    <n v="86567"/>
    <n v="299717"/>
    <x v="295"/>
    <n v="0.97"/>
    <n v="6.29"/>
    <n v="1.2"/>
    <n v="3"/>
    <x v="589"/>
    <n v="40080521"/>
    <x v="926"/>
  </r>
  <r>
    <x v="2"/>
    <x v="0"/>
    <x v="3"/>
    <x v="6"/>
    <x v="1"/>
    <x v="1"/>
    <n v="96607"/>
    <n v="184479"/>
    <x v="214"/>
    <n v="0.97"/>
    <n v="6.29"/>
    <n v="1.2"/>
    <n v="1"/>
    <x v="590"/>
    <n v="55935453"/>
    <x v="927"/>
  </r>
  <r>
    <x v="2"/>
    <x v="0"/>
    <x v="1"/>
    <x v="5"/>
    <x v="0"/>
    <x v="2"/>
    <n v="54385"/>
    <n v="411087"/>
    <x v="347"/>
    <n v="0.97"/>
    <n v="6.29"/>
    <n v="1.2"/>
    <n v="10"/>
    <x v="591"/>
    <n v="47913185"/>
    <x v="928"/>
  </r>
  <r>
    <x v="0"/>
    <x v="1"/>
    <x v="0"/>
    <x v="6"/>
    <x v="1"/>
    <x v="3"/>
    <n v="118658"/>
    <n v="82940"/>
    <x v="285"/>
    <n v="0.97"/>
    <n v="6.29"/>
    <n v="1.2"/>
    <n v="5"/>
    <x v="450"/>
    <n v="58854368"/>
    <x v="929"/>
  </r>
  <r>
    <x v="2"/>
    <x v="2"/>
    <x v="9"/>
    <x v="6"/>
    <x v="1"/>
    <x v="2"/>
    <n v="101900"/>
    <n v="55666"/>
    <x v="348"/>
    <n v="0.97"/>
    <n v="6.29"/>
    <n v="1.2"/>
    <n v="2"/>
    <x v="217"/>
    <n v="45855000"/>
    <x v="930"/>
  </r>
  <r>
    <x v="5"/>
    <x v="1"/>
    <x v="9"/>
    <x v="7"/>
    <x v="1"/>
    <x v="2"/>
    <n v="103244"/>
    <n v="349266"/>
    <x v="333"/>
    <n v="0.97"/>
    <n v="6.29"/>
    <n v="1.2"/>
    <n v="10"/>
    <x v="592"/>
    <n v="84763324"/>
    <x v="931"/>
  </r>
  <r>
    <x v="6"/>
    <x v="2"/>
    <x v="4"/>
    <x v="9"/>
    <x v="0"/>
    <x v="0"/>
    <n v="100425"/>
    <n v="430791"/>
    <x v="68"/>
    <n v="0.97"/>
    <n v="6.29"/>
    <n v="1.2"/>
    <n v="6"/>
    <x v="11"/>
    <n v="83051475"/>
    <x v="932"/>
  </r>
  <r>
    <x v="8"/>
    <x v="8"/>
    <x v="3"/>
    <x v="0"/>
    <x v="0"/>
    <x v="0"/>
    <n v="113518"/>
    <n v="206164"/>
    <x v="343"/>
    <n v="0.97"/>
    <n v="6.29"/>
    <n v="1.2"/>
    <n v="10"/>
    <x v="4"/>
    <n v="131226808"/>
    <x v="933"/>
  </r>
  <r>
    <x v="0"/>
    <x v="2"/>
    <x v="6"/>
    <x v="0"/>
    <x v="0"/>
    <x v="2"/>
    <n v="117844"/>
    <n v="441897"/>
    <x v="261"/>
    <n v="0.97"/>
    <n v="6.29"/>
    <n v="1.2"/>
    <n v="9"/>
    <x v="424"/>
    <n v="86968872"/>
    <x v="934"/>
  </r>
  <r>
    <x v="8"/>
    <x v="3"/>
    <x v="2"/>
    <x v="2"/>
    <x v="1"/>
    <x v="2"/>
    <n v="67919"/>
    <n v="435546"/>
    <x v="15"/>
    <n v="0.97"/>
    <n v="6.29"/>
    <n v="1.2"/>
    <n v="1"/>
    <x v="569"/>
    <n v="40751400"/>
    <x v="935"/>
  </r>
  <r>
    <x v="9"/>
    <x v="4"/>
    <x v="8"/>
    <x v="6"/>
    <x v="1"/>
    <x v="0"/>
    <n v="92196"/>
    <n v="256717"/>
    <x v="349"/>
    <n v="0.97"/>
    <n v="6.29"/>
    <n v="1.2"/>
    <n v="4"/>
    <x v="593"/>
    <n v="52182936"/>
    <x v="936"/>
  </r>
  <r>
    <x v="8"/>
    <x v="11"/>
    <x v="5"/>
    <x v="7"/>
    <x v="1"/>
    <x v="1"/>
    <n v="114401"/>
    <n v="413334"/>
    <x v="182"/>
    <n v="0.97"/>
    <n v="6.29"/>
    <n v="1.2"/>
    <n v="1"/>
    <x v="594"/>
    <n v="30659468"/>
    <x v="937"/>
  </r>
  <r>
    <x v="8"/>
    <x v="11"/>
    <x v="4"/>
    <x v="0"/>
    <x v="0"/>
    <x v="2"/>
    <n v="35495"/>
    <n v="412612"/>
    <x v="350"/>
    <n v="0.97"/>
    <n v="6.29"/>
    <n v="1.2"/>
    <n v="1"/>
    <x v="595"/>
    <n v="34536635"/>
    <x v="938"/>
  </r>
  <r>
    <x v="0"/>
    <x v="7"/>
    <x v="2"/>
    <x v="7"/>
    <x v="1"/>
    <x v="3"/>
    <n v="79755"/>
    <n v="441351"/>
    <x v="65"/>
    <n v="0.97"/>
    <n v="6.29"/>
    <n v="1.2"/>
    <n v="8"/>
    <x v="382"/>
    <n v="48012510"/>
    <x v="939"/>
  </r>
  <r>
    <x v="7"/>
    <x v="5"/>
    <x v="5"/>
    <x v="1"/>
    <x v="1"/>
    <x v="3"/>
    <n v="102684"/>
    <n v="76505"/>
    <x v="49"/>
    <n v="0.97"/>
    <n v="6.29"/>
    <n v="1.2"/>
    <n v="2"/>
    <x v="596"/>
    <n v="34501824"/>
    <x v="940"/>
  </r>
  <r>
    <x v="3"/>
    <x v="4"/>
    <x v="5"/>
    <x v="9"/>
    <x v="0"/>
    <x v="3"/>
    <n v="68324"/>
    <n v="86713"/>
    <x v="225"/>
    <n v="0.97"/>
    <n v="6.29"/>
    <n v="1.2"/>
    <n v="1"/>
    <x v="351"/>
    <n v="43454064"/>
    <x v="941"/>
  </r>
  <r>
    <x v="2"/>
    <x v="6"/>
    <x v="3"/>
    <x v="6"/>
    <x v="1"/>
    <x v="2"/>
    <n v="113929"/>
    <n v="497603"/>
    <x v="323"/>
    <n v="0.97"/>
    <n v="6.29"/>
    <n v="1.2"/>
    <n v="8"/>
    <x v="0"/>
    <n v="36912996"/>
    <x v="942"/>
  </r>
  <r>
    <x v="2"/>
    <x v="0"/>
    <x v="3"/>
    <x v="2"/>
    <x v="1"/>
    <x v="1"/>
    <n v="36552"/>
    <n v="355313"/>
    <x v="213"/>
    <n v="0.97"/>
    <n v="6.29"/>
    <n v="1.2"/>
    <n v="4"/>
    <x v="336"/>
    <n v="26463648"/>
    <x v="943"/>
  </r>
  <r>
    <x v="5"/>
    <x v="10"/>
    <x v="1"/>
    <x v="5"/>
    <x v="0"/>
    <x v="1"/>
    <n v="86272"/>
    <n v="254354"/>
    <x v="32"/>
    <n v="0.97"/>
    <n v="6.29"/>
    <n v="1.2"/>
    <n v="3"/>
    <x v="597"/>
    <n v="12940800"/>
    <x v="944"/>
  </r>
  <r>
    <x v="0"/>
    <x v="9"/>
    <x v="9"/>
    <x v="0"/>
    <x v="0"/>
    <x v="0"/>
    <n v="70853"/>
    <n v="127511"/>
    <x v="340"/>
    <n v="0.97"/>
    <n v="6.29"/>
    <n v="1.2"/>
    <n v="4"/>
    <x v="42"/>
    <n v="30395937"/>
    <x v="945"/>
  </r>
  <r>
    <x v="5"/>
    <x v="8"/>
    <x v="2"/>
    <x v="1"/>
    <x v="1"/>
    <x v="2"/>
    <n v="67924"/>
    <n v="494958"/>
    <x v="104"/>
    <n v="0.97"/>
    <n v="6.29"/>
    <n v="1.2"/>
    <n v="5"/>
    <x v="58"/>
    <n v="39124224"/>
    <x v="946"/>
  </r>
  <r>
    <x v="6"/>
    <x v="5"/>
    <x v="4"/>
    <x v="7"/>
    <x v="1"/>
    <x v="1"/>
    <n v="109462"/>
    <n v="352666"/>
    <x v="76"/>
    <n v="0.97"/>
    <n v="6.29"/>
    <n v="1.2"/>
    <n v="1"/>
    <x v="174"/>
    <n v="81439728"/>
    <x v="947"/>
  </r>
  <r>
    <x v="6"/>
    <x v="5"/>
    <x v="7"/>
    <x v="4"/>
    <x v="0"/>
    <x v="2"/>
    <n v="58889"/>
    <n v="262204"/>
    <x v="45"/>
    <n v="0.97"/>
    <n v="6.29"/>
    <n v="1.2"/>
    <n v="1"/>
    <x v="598"/>
    <n v="48230091"/>
    <x v="948"/>
  </r>
  <r>
    <x v="5"/>
    <x v="3"/>
    <x v="4"/>
    <x v="3"/>
    <x v="1"/>
    <x v="0"/>
    <n v="89675"/>
    <n v="300694"/>
    <x v="344"/>
    <n v="0.97"/>
    <n v="6.29"/>
    <n v="1.2"/>
    <n v="3"/>
    <x v="599"/>
    <n v="92275575"/>
    <x v="949"/>
  </r>
  <r>
    <x v="0"/>
    <x v="5"/>
    <x v="1"/>
    <x v="6"/>
    <x v="1"/>
    <x v="0"/>
    <n v="108591"/>
    <n v="299836"/>
    <x v="288"/>
    <n v="0.97"/>
    <n v="6.29"/>
    <n v="1.2"/>
    <n v="6"/>
    <x v="600"/>
    <n v="43762173"/>
    <x v="950"/>
  </r>
  <r>
    <x v="5"/>
    <x v="0"/>
    <x v="8"/>
    <x v="6"/>
    <x v="1"/>
    <x v="0"/>
    <n v="105190"/>
    <n v="284561"/>
    <x v="251"/>
    <n v="0.97"/>
    <n v="6.29"/>
    <n v="1.2"/>
    <n v="1"/>
    <x v="530"/>
    <n v="54172850"/>
    <x v="951"/>
  </r>
  <r>
    <x v="2"/>
    <x v="0"/>
    <x v="9"/>
    <x v="1"/>
    <x v="1"/>
    <x v="3"/>
    <n v="57634"/>
    <n v="411541"/>
    <x v="73"/>
    <n v="0.97"/>
    <n v="6.29"/>
    <n v="1.2"/>
    <n v="2"/>
    <x v="464"/>
    <n v="32102138"/>
    <x v="952"/>
  </r>
  <r>
    <x v="4"/>
    <x v="9"/>
    <x v="7"/>
    <x v="7"/>
    <x v="1"/>
    <x v="2"/>
    <n v="67363"/>
    <n v="53880"/>
    <x v="41"/>
    <n v="0.97"/>
    <n v="6.29"/>
    <n v="1.2"/>
    <n v="7"/>
    <x v="601"/>
    <n v="40889341"/>
    <x v="953"/>
  </r>
  <r>
    <x v="1"/>
    <x v="2"/>
    <x v="0"/>
    <x v="8"/>
    <x v="0"/>
    <x v="0"/>
    <n v="98752"/>
    <n v="486670"/>
    <x v="303"/>
    <n v="0.97"/>
    <n v="6.29"/>
    <n v="1.2"/>
    <n v="1"/>
    <x v="602"/>
    <n v="110207232"/>
    <x v="954"/>
  </r>
  <r>
    <x v="8"/>
    <x v="6"/>
    <x v="8"/>
    <x v="6"/>
    <x v="1"/>
    <x v="2"/>
    <n v="112004"/>
    <n v="498927"/>
    <x v="229"/>
    <n v="0.97"/>
    <n v="6.29"/>
    <n v="1.2"/>
    <n v="7"/>
    <x v="270"/>
    <n v="14560520"/>
    <x v="955"/>
  </r>
  <r>
    <x v="1"/>
    <x v="4"/>
    <x v="3"/>
    <x v="8"/>
    <x v="0"/>
    <x v="3"/>
    <n v="91398"/>
    <n v="93539"/>
    <x v="296"/>
    <n v="0.97"/>
    <n v="6.29"/>
    <n v="1.2"/>
    <n v="4"/>
    <x v="84"/>
    <n v="51091482"/>
    <x v="956"/>
  </r>
  <r>
    <x v="0"/>
    <x v="5"/>
    <x v="5"/>
    <x v="4"/>
    <x v="0"/>
    <x v="3"/>
    <n v="75718"/>
    <n v="290056"/>
    <x v="118"/>
    <n v="0.97"/>
    <n v="6.29"/>
    <n v="1.2"/>
    <n v="10"/>
    <x v="500"/>
    <n v="82381184"/>
    <x v="957"/>
  </r>
  <r>
    <x v="1"/>
    <x v="11"/>
    <x v="0"/>
    <x v="1"/>
    <x v="1"/>
    <x v="0"/>
    <n v="117916"/>
    <n v="269057"/>
    <x v="208"/>
    <n v="0.97"/>
    <n v="6.29"/>
    <n v="1.2"/>
    <n v="6"/>
    <x v="203"/>
    <n v="42449760"/>
    <x v="958"/>
  </r>
  <r>
    <x v="6"/>
    <x v="1"/>
    <x v="4"/>
    <x v="7"/>
    <x v="1"/>
    <x v="0"/>
    <n v="61870"/>
    <n v="64799"/>
    <x v="104"/>
    <n v="0.97"/>
    <n v="6.29"/>
    <n v="1.2"/>
    <n v="8"/>
    <x v="603"/>
    <n v="45783800"/>
    <x v="959"/>
  </r>
  <r>
    <x v="9"/>
    <x v="3"/>
    <x v="4"/>
    <x v="7"/>
    <x v="1"/>
    <x v="1"/>
    <n v="72394"/>
    <n v="154843"/>
    <x v="228"/>
    <n v="0.97"/>
    <n v="6.29"/>
    <n v="1.2"/>
    <n v="9"/>
    <x v="294"/>
    <n v="37717274"/>
    <x v="960"/>
  </r>
  <r>
    <x v="8"/>
    <x v="3"/>
    <x v="3"/>
    <x v="9"/>
    <x v="0"/>
    <x v="2"/>
    <n v="87057"/>
    <n v="493942"/>
    <x v="211"/>
    <n v="0.97"/>
    <n v="6.29"/>
    <n v="1.2"/>
    <n v="6"/>
    <x v="604"/>
    <n v="104120172"/>
    <x v="961"/>
  </r>
  <r>
    <x v="3"/>
    <x v="11"/>
    <x v="1"/>
    <x v="3"/>
    <x v="1"/>
    <x v="0"/>
    <n v="114795"/>
    <n v="98784"/>
    <x v="175"/>
    <n v="0.97"/>
    <n v="6.29"/>
    <n v="1.2"/>
    <n v="9"/>
    <x v="336"/>
    <n v="83111580"/>
    <x v="962"/>
  </r>
  <r>
    <x v="0"/>
    <x v="7"/>
    <x v="2"/>
    <x v="0"/>
    <x v="0"/>
    <x v="1"/>
    <n v="115409"/>
    <n v="163034"/>
    <x v="282"/>
    <n v="0.97"/>
    <n v="6.29"/>
    <n v="1.2"/>
    <n v="4"/>
    <x v="605"/>
    <n v="81940390"/>
    <x v="963"/>
  </r>
  <r>
    <x v="8"/>
    <x v="11"/>
    <x v="0"/>
    <x v="0"/>
    <x v="0"/>
    <x v="2"/>
    <n v="48016"/>
    <n v="486549"/>
    <x v="221"/>
    <n v="0.97"/>
    <n v="6.29"/>
    <n v="1.2"/>
    <n v="6"/>
    <x v="4"/>
    <n v="55506496"/>
    <x v="964"/>
  </r>
  <r>
    <x v="1"/>
    <x v="7"/>
    <x v="0"/>
    <x v="5"/>
    <x v="0"/>
    <x v="0"/>
    <n v="77137"/>
    <n v="484044"/>
    <x v="66"/>
    <n v="0.97"/>
    <n v="6.29"/>
    <n v="1.2"/>
    <n v="8"/>
    <x v="606"/>
    <n v="18744291"/>
    <x v="965"/>
  </r>
  <r>
    <x v="6"/>
    <x v="10"/>
    <x v="6"/>
    <x v="2"/>
    <x v="1"/>
    <x v="1"/>
    <n v="35153"/>
    <n v="250598"/>
    <x v="351"/>
    <n v="0.97"/>
    <n v="6.29"/>
    <n v="1.2"/>
    <n v="9"/>
    <x v="93"/>
    <n v="22146390"/>
    <x v="966"/>
  </r>
  <r>
    <x v="7"/>
    <x v="1"/>
    <x v="8"/>
    <x v="1"/>
    <x v="1"/>
    <x v="1"/>
    <n v="42853"/>
    <n v="104362"/>
    <x v="29"/>
    <n v="0.97"/>
    <n v="6.29"/>
    <n v="1.2"/>
    <n v="3"/>
    <x v="409"/>
    <n v="28540098"/>
    <x v="967"/>
  </r>
  <r>
    <x v="4"/>
    <x v="3"/>
    <x v="9"/>
    <x v="4"/>
    <x v="0"/>
    <x v="2"/>
    <n v="47379"/>
    <n v="103997"/>
    <x v="156"/>
    <n v="0.97"/>
    <n v="6.29"/>
    <n v="1.2"/>
    <n v="2"/>
    <x v="607"/>
    <n v="2795361"/>
    <x v="968"/>
  </r>
  <r>
    <x v="3"/>
    <x v="11"/>
    <x v="8"/>
    <x v="7"/>
    <x v="1"/>
    <x v="1"/>
    <n v="50792"/>
    <n v="231413"/>
    <x v="311"/>
    <n v="0.97"/>
    <n v="6.29"/>
    <n v="1.2"/>
    <n v="6"/>
    <x v="531"/>
    <n v="40836768"/>
    <x v="969"/>
  </r>
  <r>
    <x v="4"/>
    <x v="10"/>
    <x v="2"/>
    <x v="3"/>
    <x v="1"/>
    <x v="2"/>
    <n v="73367"/>
    <n v="462289"/>
    <x v="352"/>
    <n v="0.97"/>
    <n v="6.29"/>
    <n v="1.2"/>
    <n v="4"/>
    <x v="139"/>
    <n v="43726732"/>
    <x v="970"/>
  </r>
  <r>
    <x v="8"/>
    <x v="2"/>
    <x v="4"/>
    <x v="8"/>
    <x v="0"/>
    <x v="2"/>
    <n v="53100"/>
    <n v="414543"/>
    <x v="155"/>
    <n v="0.97"/>
    <n v="6.29"/>
    <n v="1.2"/>
    <n v="1"/>
    <x v="608"/>
    <n v="16992000"/>
    <x v="971"/>
  </r>
  <r>
    <x v="6"/>
    <x v="8"/>
    <x v="4"/>
    <x v="1"/>
    <x v="1"/>
    <x v="2"/>
    <n v="98456"/>
    <n v="326693"/>
    <x v="204"/>
    <n v="0.97"/>
    <n v="6.29"/>
    <n v="1.2"/>
    <n v="8"/>
    <x v="609"/>
    <n v="55627640"/>
    <x v="972"/>
  </r>
  <r>
    <x v="6"/>
    <x v="4"/>
    <x v="4"/>
    <x v="5"/>
    <x v="0"/>
    <x v="3"/>
    <n v="46049"/>
    <n v="369064"/>
    <x v="219"/>
    <n v="0.97"/>
    <n v="6.29"/>
    <n v="1.2"/>
    <n v="9"/>
    <x v="610"/>
    <n v="4420704"/>
    <x v="973"/>
  </r>
  <r>
    <x v="1"/>
    <x v="10"/>
    <x v="6"/>
    <x v="1"/>
    <x v="1"/>
    <x v="1"/>
    <n v="35786"/>
    <n v="266398"/>
    <x v="168"/>
    <n v="0.97"/>
    <n v="6.29"/>
    <n v="1.2"/>
    <n v="9"/>
    <x v="354"/>
    <n v="20576950"/>
    <x v="974"/>
  </r>
  <r>
    <x v="2"/>
    <x v="4"/>
    <x v="4"/>
    <x v="5"/>
    <x v="0"/>
    <x v="2"/>
    <n v="104904"/>
    <n v="310464"/>
    <x v="105"/>
    <n v="0.97"/>
    <n v="6.29"/>
    <n v="1.2"/>
    <n v="2"/>
    <x v="559"/>
    <n v="101547072"/>
    <x v="975"/>
  </r>
  <r>
    <x v="1"/>
    <x v="11"/>
    <x v="2"/>
    <x v="7"/>
    <x v="1"/>
    <x v="0"/>
    <n v="65699"/>
    <n v="463532"/>
    <x v="75"/>
    <n v="0.97"/>
    <n v="6.29"/>
    <n v="1.2"/>
    <n v="9"/>
    <x v="611"/>
    <n v="38236818"/>
    <x v="976"/>
  </r>
  <r>
    <x v="2"/>
    <x v="6"/>
    <x v="3"/>
    <x v="2"/>
    <x v="1"/>
    <x v="3"/>
    <n v="82691"/>
    <n v="207255"/>
    <x v="221"/>
    <n v="0.97"/>
    <n v="6.29"/>
    <n v="1.2"/>
    <n v="7"/>
    <x v="612"/>
    <n v="92944684"/>
    <x v="977"/>
  </r>
  <r>
    <x v="2"/>
    <x v="2"/>
    <x v="9"/>
    <x v="5"/>
    <x v="0"/>
    <x v="3"/>
    <n v="72040"/>
    <n v="406004"/>
    <x v="148"/>
    <n v="0.97"/>
    <n v="6.29"/>
    <n v="1.2"/>
    <n v="5"/>
    <x v="189"/>
    <n v="50211880"/>
    <x v="978"/>
  </r>
  <r>
    <x v="3"/>
    <x v="10"/>
    <x v="2"/>
    <x v="7"/>
    <x v="1"/>
    <x v="1"/>
    <n v="92986"/>
    <n v="74624"/>
    <x v="335"/>
    <n v="0.97"/>
    <n v="6.29"/>
    <n v="1.2"/>
    <n v="7"/>
    <x v="613"/>
    <n v="65462144"/>
    <x v="979"/>
  </r>
  <r>
    <x v="1"/>
    <x v="1"/>
    <x v="9"/>
    <x v="7"/>
    <x v="1"/>
    <x v="2"/>
    <n v="73762"/>
    <n v="243587"/>
    <x v="7"/>
    <n v="0.97"/>
    <n v="6.29"/>
    <n v="1.2"/>
    <n v="9"/>
    <x v="614"/>
    <n v="24488984"/>
    <x v="980"/>
  </r>
  <r>
    <x v="7"/>
    <x v="11"/>
    <x v="2"/>
    <x v="2"/>
    <x v="1"/>
    <x v="1"/>
    <n v="58600"/>
    <n v="284784"/>
    <x v="353"/>
    <n v="0.97"/>
    <n v="6.29"/>
    <n v="1.2"/>
    <n v="8"/>
    <x v="183"/>
    <n v="38324400"/>
    <x v="981"/>
  </r>
  <r>
    <x v="5"/>
    <x v="5"/>
    <x v="4"/>
    <x v="0"/>
    <x v="0"/>
    <x v="3"/>
    <n v="54810"/>
    <n v="96705"/>
    <x v="312"/>
    <n v="0.97"/>
    <n v="6.29"/>
    <n v="1.2"/>
    <n v="6"/>
    <x v="459"/>
    <n v="36339030"/>
    <x v="982"/>
  </r>
  <r>
    <x v="5"/>
    <x v="0"/>
    <x v="3"/>
    <x v="1"/>
    <x v="1"/>
    <x v="2"/>
    <n v="92204"/>
    <n v="139326"/>
    <x v="83"/>
    <n v="0.97"/>
    <n v="6.29"/>
    <n v="1.2"/>
    <n v="4"/>
    <x v="615"/>
    <n v="64358392"/>
    <x v="983"/>
  </r>
  <r>
    <x v="1"/>
    <x v="10"/>
    <x v="0"/>
    <x v="6"/>
    <x v="1"/>
    <x v="0"/>
    <n v="55085"/>
    <n v="469972"/>
    <x v="118"/>
    <n v="0.97"/>
    <n v="6.29"/>
    <n v="1.2"/>
    <n v="1"/>
    <x v="95"/>
    <n v="48474800"/>
    <x v="984"/>
  </r>
  <r>
    <x v="1"/>
    <x v="1"/>
    <x v="8"/>
    <x v="6"/>
    <x v="1"/>
    <x v="2"/>
    <n v="81854"/>
    <n v="372534"/>
    <x v="334"/>
    <n v="0.97"/>
    <n v="6.29"/>
    <n v="1.2"/>
    <n v="6"/>
    <x v="163"/>
    <n v="72604498"/>
    <x v="985"/>
  </r>
  <r>
    <x v="4"/>
    <x v="8"/>
    <x v="5"/>
    <x v="8"/>
    <x v="0"/>
    <x v="3"/>
    <n v="109797"/>
    <n v="118369"/>
    <x v="287"/>
    <n v="0.97"/>
    <n v="6.29"/>
    <n v="1.2"/>
    <n v="3"/>
    <x v="455"/>
    <n v="79053840"/>
    <x v="986"/>
  </r>
  <r>
    <x v="3"/>
    <x v="5"/>
    <x v="3"/>
    <x v="8"/>
    <x v="0"/>
    <x v="0"/>
    <n v="119269"/>
    <n v="251893"/>
    <x v="150"/>
    <n v="0.97"/>
    <n v="6.29"/>
    <n v="1.2"/>
    <n v="6"/>
    <x v="349"/>
    <n v="108534790"/>
    <x v="987"/>
  </r>
  <r>
    <x v="1"/>
    <x v="8"/>
    <x v="0"/>
    <x v="6"/>
    <x v="1"/>
    <x v="2"/>
    <n v="74779"/>
    <n v="321733"/>
    <x v="57"/>
    <n v="0.97"/>
    <n v="6.29"/>
    <n v="1.2"/>
    <n v="6"/>
    <x v="616"/>
    <n v="54289554"/>
    <x v="988"/>
  </r>
  <r>
    <x v="4"/>
    <x v="11"/>
    <x v="1"/>
    <x v="4"/>
    <x v="0"/>
    <x v="0"/>
    <n v="91207"/>
    <n v="163012"/>
    <x v="334"/>
    <n v="0.97"/>
    <n v="6.29"/>
    <n v="1.2"/>
    <n v="4"/>
    <x v="592"/>
    <n v="74880947"/>
    <x v="989"/>
  </r>
  <r>
    <x v="2"/>
    <x v="0"/>
    <x v="2"/>
    <x v="6"/>
    <x v="1"/>
    <x v="0"/>
    <n v="68980"/>
    <n v="457332"/>
    <x v="214"/>
    <n v="0.97"/>
    <n v="6.29"/>
    <n v="1.2"/>
    <n v="2"/>
    <x v="605"/>
    <n v="48975800"/>
    <x v="990"/>
  </r>
  <r>
    <x v="6"/>
    <x v="10"/>
    <x v="1"/>
    <x v="8"/>
    <x v="0"/>
    <x v="3"/>
    <n v="91117"/>
    <n v="385325"/>
    <x v="100"/>
    <n v="0.97"/>
    <n v="6.29"/>
    <n v="1.2"/>
    <n v="9"/>
    <x v="580"/>
    <n v="94397212"/>
    <x v="991"/>
  </r>
  <r>
    <x v="6"/>
    <x v="10"/>
    <x v="0"/>
    <x v="3"/>
    <x v="1"/>
    <x v="0"/>
    <n v="49141"/>
    <n v="225858"/>
    <x v="19"/>
    <n v="0.97"/>
    <n v="6.29"/>
    <n v="1.2"/>
    <n v="2"/>
    <x v="617"/>
    <n v="31843368"/>
    <x v="992"/>
  </r>
  <r>
    <x v="2"/>
    <x v="6"/>
    <x v="3"/>
    <x v="8"/>
    <x v="0"/>
    <x v="1"/>
    <n v="44344"/>
    <n v="275758"/>
    <x v="4"/>
    <n v="0.97"/>
    <n v="6.29"/>
    <n v="1.2"/>
    <n v="3"/>
    <x v="618"/>
    <n v="34721352"/>
    <x v="993"/>
  </r>
  <r>
    <x v="0"/>
    <x v="3"/>
    <x v="2"/>
    <x v="4"/>
    <x v="0"/>
    <x v="3"/>
    <n v="50896"/>
    <n v="173711"/>
    <x v="354"/>
    <n v="0.97"/>
    <n v="6.29"/>
    <n v="1.2"/>
    <n v="10"/>
    <x v="419"/>
    <n v="33998528"/>
    <x v="994"/>
  </r>
  <r>
    <x v="4"/>
    <x v="6"/>
    <x v="5"/>
    <x v="1"/>
    <x v="1"/>
    <x v="1"/>
    <n v="64813"/>
    <n v="126425"/>
    <x v="310"/>
    <n v="0.97"/>
    <n v="6.29"/>
    <n v="1.2"/>
    <n v="1"/>
    <x v="519"/>
    <n v="36943410"/>
    <x v="995"/>
  </r>
  <r>
    <x v="4"/>
    <x v="11"/>
    <x v="4"/>
    <x v="6"/>
    <x v="1"/>
    <x v="0"/>
    <n v="119431"/>
    <n v="473502"/>
    <x v="25"/>
    <n v="0.97"/>
    <n v="6.29"/>
    <n v="1.2"/>
    <n v="7"/>
    <x v="352"/>
    <n v="51713623"/>
    <x v="996"/>
  </r>
  <r>
    <x v="2"/>
    <x v="11"/>
    <x v="2"/>
    <x v="2"/>
    <x v="1"/>
    <x v="1"/>
    <n v="100679"/>
    <n v="65994"/>
    <x v="48"/>
    <n v="0.97"/>
    <n v="6.29"/>
    <n v="1.2"/>
    <n v="1"/>
    <x v="619"/>
    <n v="61816906"/>
    <x v="997"/>
  </r>
  <r>
    <x v="7"/>
    <x v="0"/>
    <x v="2"/>
    <x v="3"/>
    <x v="1"/>
    <x v="2"/>
    <n v="45681"/>
    <n v="161915"/>
    <x v="311"/>
    <n v="0.97"/>
    <n v="6.29"/>
    <n v="1.2"/>
    <n v="9"/>
    <x v="176"/>
    <n v="23342991"/>
    <x v="998"/>
  </r>
  <r>
    <x v="9"/>
    <x v="6"/>
    <x v="3"/>
    <x v="7"/>
    <x v="1"/>
    <x v="0"/>
    <n v="107903"/>
    <n v="435105"/>
    <x v="253"/>
    <n v="0.97"/>
    <n v="6.29"/>
    <n v="1.2"/>
    <n v="1"/>
    <x v="620"/>
    <n v="96141573"/>
    <x v="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D1511-15AA-48EE-9DE9-4FF74768BF4E}" name="PivotTable1" cacheId="5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B14" firstHeaderRow="1" firstDataRow="1" firstDataCol="1"/>
  <pivotFields count="16">
    <pivotField compact="0" outline="0" showAll="0">
      <items count="11">
        <item x="8"/>
        <item x="7"/>
        <item x="5"/>
        <item x="1"/>
        <item x="3"/>
        <item x="6"/>
        <item x="0"/>
        <item x="2"/>
        <item x="9"/>
        <item x="4"/>
        <item t="default"/>
      </items>
    </pivotField>
    <pivotField compact="0" outline="0" showAll="0">
      <items count="13">
        <item x="0"/>
        <item x="11"/>
        <item x="9"/>
        <item x="4"/>
        <item x="5"/>
        <item x="8"/>
        <item x="10"/>
        <item x="1"/>
        <item x="7"/>
        <item x="6"/>
        <item x="3"/>
        <item x="2"/>
        <item t="default"/>
      </items>
    </pivotField>
    <pivotField compact="0" outline="0" showAll="0">
      <items count="11">
        <item x="0"/>
        <item x="2"/>
        <item x="6"/>
        <item x="3"/>
        <item x="8"/>
        <item x="7"/>
        <item x="4"/>
        <item x="9"/>
        <item x="5"/>
        <item x="1"/>
        <item t="default"/>
      </items>
    </pivotField>
    <pivotField axis="axisRow" compact="0" outline="0" showAll="0">
      <items count="11">
        <item x="6"/>
        <item x="2"/>
        <item x="7"/>
        <item x="1"/>
        <item x="3"/>
        <item x="9"/>
        <item x="0"/>
        <item x="8"/>
        <item x="4"/>
        <item x="5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5">
        <item x="3"/>
        <item x="1"/>
        <item x="2"/>
        <item x="0"/>
        <item t="default"/>
      </items>
    </pivotField>
    <pivotField compact="0" numFmtId="165" outline="0" showAll="0"/>
    <pivotField compact="0" numFmtId="165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dataField="1" compact="0" outline="0" showAll="0">
      <items count="622">
        <item x="25"/>
        <item x="607"/>
        <item x="261"/>
        <item x="546"/>
        <item x="358"/>
        <item x="550"/>
        <item x="493"/>
        <item x="610"/>
        <item x="96"/>
        <item x="454"/>
        <item x="26"/>
        <item x="430"/>
        <item x="67"/>
        <item x="153"/>
        <item x="144"/>
        <item x="499"/>
        <item x="270"/>
        <item x="567"/>
        <item x="188"/>
        <item x="329"/>
        <item x="389"/>
        <item x="597"/>
        <item x="396"/>
        <item x="2"/>
        <item x="505"/>
        <item x="387"/>
        <item x="285"/>
        <item x="204"/>
        <item x="417"/>
        <item x="501"/>
        <item x="182"/>
        <item x="266"/>
        <item x="31"/>
        <item x="425"/>
        <item x="53"/>
        <item x="521"/>
        <item x="575"/>
        <item x="168"/>
        <item x="234"/>
        <item x="345"/>
        <item x="105"/>
        <item x="556"/>
        <item x="245"/>
        <item x="242"/>
        <item x="134"/>
        <item x="54"/>
        <item x="299"/>
        <item x="334"/>
        <item x="220"/>
        <item x="184"/>
        <item x="405"/>
        <item x="34"/>
        <item x="357"/>
        <item x="484"/>
        <item x="534"/>
        <item x="47"/>
        <item x="475"/>
        <item x="322"/>
        <item x="509"/>
        <item x="548"/>
        <item x="606"/>
        <item x="528"/>
        <item x="179"/>
        <item x="314"/>
        <item x="503"/>
        <item x="328"/>
        <item x="442"/>
        <item x="577"/>
        <item x="360"/>
        <item x="263"/>
        <item x="485"/>
        <item x="311"/>
        <item x="70"/>
        <item x="238"/>
        <item x="398"/>
        <item x="594"/>
        <item x="560"/>
        <item x="80"/>
        <item x="490"/>
        <item x="557"/>
        <item x="224"/>
        <item x="418"/>
        <item x="420"/>
        <item x="496"/>
        <item x="156"/>
        <item x="292"/>
        <item x="56"/>
        <item x="368"/>
        <item x="492"/>
        <item x="114"/>
        <item x="545"/>
        <item x="264"/>
        <item x="537"/>
        <item x="479"/>
        <item x="339"/>
        <item x="288"/>
        <item x="14"/>
        <item x="427"/>
        <item x="416"/>
        <item x="552"/>
        <item x="239"/>
        <item x="445"/>
        <item x="487"/>
        <item x="197"/>
        <item x="331"/>
        <item x="608"/>
        <item x="0"/>
        <item x="435"/>
        <item x="554"/>
        <item x="614"/>
        <item x="588"/>
        <item x="596"/>
        <item x="175"/>
        <item x="222"/>
        <item x="318"/>
        <item x="166"/>
        <item x="61"/>
        <item x="584"/>
        <item x="250"/>
        <item x="319"/>
        <item x="451"/>
        <item x="251"/>
        <item x="50"/>
        <item x="206"/>
        <item x="203"/>
        <item x="160"/>
        <item x="207"/>
        <item x="37"/>
        <item x="256"/>
        <item x="73"/>
        <item x="350"/>
        <item x="125"/>
        <item x="185"/>
        <item x="562"/>
        <item x="458"/>
        <item x="40"/>
        <item x="428"/>
        <item x="167"/>
        <item x="444"/>
        <item x="161"/>
        <item x="33"/>
        <item x="536"/>
        <item x="64"/>
        <item x="296"/>
        <item x="46"/>
        <item x="29"/>
        <item x="259"/>
        <item x="346"/>
        <item x="551"/>
        <item x="600"/>
        <item x="374"/>
        <item x="214"/>
        <item x="136"/>
        <item x="362"/>
        <item x="441"/>
        <item x="205"/>
        <item x="45"/>
        <item x="460"/>
        <item x="359"/>
        <item x="366"/>
        <item x="369"/>
        <item x="181"/>
        <item x="228"/>
        <item x="118"/>
        <item x="260"/>
        <item x="138"/>
        <item x="110"/>
        <item x="380"/>
        <item x="42"/>
        <item x="272"/>
        <item x="426"/>
        <item x="257"/>
        <item x="352"/>
        <item x="481"/>
        <item x="8"/>
        <item x="244"/>
        <item x="535"/>
        <item x="6"/>
        <item x="223"/>
        <item x="190"/>
        <item x="10"/>
        <item x="148"/>
        <item x="217"/>
        <item x="97"/>
        <item x="59"/>
        <item x="576"/>
        <item x="462"/>
        <item x="178"/>
        <item x="447"/>
        <item x="488"/>
        <item x="589"/>
        <item x="152"/>
        <item x="282"/>
        <item x="297"/>
        <item x="532"/>
        <item x="347"/>
        <item x="236"/>
        <item x="147"/>
        <item x="253"/>
        <item x="78"/>
        <item x="293"/>
        <item x="49"/>
        <item x="191"/>
        <item x="376"/>
        <item x="386"/>
        <item x="468"/>
        <item x="388"/>
        <item x="7"/>
        <item x="431"/>
        <item x="332"/>
        <item x="57"/>
        <item x="450"/>
        <item x="283"/>
        <item x="265"/>
        <item x="307"/>
        <item x="187"/>
        <item x="85"/>
        <item x="255"/>
        <item x="155"/>
        <item x="91"/>
        <item x="411"/>
        <item x="176"/>
        <item x="391"/>
        <item x="482"/>
        <item x="262"/>
        <item x="530"/>
        <item x="213"/>
        <item x="301"/>
        <item x="68"/>
        <item x="157"/>
        <item x="274"/>
        <item x="294"/>
        <item x="587"/>
        <item x="27"/>
        <item x="399"/>
        <item x="279"/>
        <item x="158"/>
        <item x="230"/>
        <item x="132"/>
        <item x="81"/>
        <item x="74"/>
        <item x="271"/>
        <item x="18"/>
        <item x="172"/>
        <item x="212"/>
        <item x="303"/>
        <item x="227"/>
        <item x="194"/>
        <item x="41"/>
        <item x="20"/>
        <item x="394"/>
        <item x="583"/>
        <item x="495"/>
        <item x="208"/>
        <item x="119"/>
        <item x="276"/>
        <item x="429"/>
        <item x="258"/>
        <item x="1"/>
        <item x="464"/>
        <item x="84"/>
        <item x="573"/>
        <item x="363"/>
        <item x="87"/>
        <item x="609"/>
        <item x="593"/>
        <item x="323"/>
        <item x="519"/>
        <item x="298"/>
        <item x="353"/>
        <item x="354"/>
        <item x="58"/>
        <item x="55"/>
        <item x="590"/>
        <item x="333"/>
        <item x="611"/>
        <item x="547"/>
        <item x="82"/>
        <item x="438"/>
        <item x="16"/>
        <item x="436"/>
        <item x="90"/>
        <item x="527"/>
        <item x="139"/>
        <item x="511"/>
        <item x="169"/>
        <item x="569"/>
        <item x="410"/>
        <item x="382"/>
        <item x="77"/>
        <item x="581"/>
        <item x="601"/>
        <item x="309"/>
        <item x="269"/>
        <item x="69"/>
        <item x="304"/>
        <item x="619"/>
        <item x="237"/>
        <item x="320"/>
        <item x="107"/>
        <item x="225"/>
        <item x="121"/>
        <item x="150"/>
        <item x="549"/>
        <item x="93"/>
        <item x="497"/>
        <item x="122"/>
        <item x="232"/>
        <item x="351"/>
        <item x="448"/>
        <item x="343"/>
        <item x="393"/>
        <item x="247"/>
        <item x="421"/>
        <item x="17"/>
        <item x="423"/>
        <item x="273"/>
        <item x="617"/>
        <item x="62"/>
        <item x="32"/>
        <item x="183"/>
        <item x="287"/>
        <item x="100"/>
        <item x="407"/>
        <item x="43"/>
        <item x="308"/>
        <item x="459"/>
        <item x="337"/>
        <item x="201"/>
        <item x="409"/>
        <item x="83"/>
        <item x="419"/>
        <item x="565"/>
        <item x="233"/>
        <item x="24"/>
        <item x="240"/>
        <item x="249"/>
        <item x="72"/>
        <item x="522"/>
        <item x="52"/>
        <item x="281"/>
        <item x="401"/>
        <item x="467"/>
        <item x="514"/>
        <item x="507"/>
        <item x="135"/>
        <item x="113"/>
        <item x="5"/>
        <item x="75"/>
        <item x="538"/>
        <item x="529"/>
        <item x="563"/>
        <item x="189"/>
        <item x="615"/>
        <item x="312"/>
        <item x="286"/>
        <item x="434"/>
        <item x="613"/>
        <item x="36"/>
        <item x="79"/>
        <item x="526"/>
        <item x="403"/>
        <item x="103"/>
        <item x="605"/>
        <item x="384"/>
        <item x="12"/>
        <item x="477"/>
        <item x="515"/>
        <item x="115"/>
        <item x="379"/>
        <item x="280"/>
        <item x="310"/>
        <item x="455"/>
        <item x="377"/>
        <item x="336"/>
        <item x="15"/>
        <item x="616"/>
        <item x="568"/>
        <item x="102"/>
        <item x="3"/>
        <item x="555"/>
        <item x="402"/>
        <item x="267"/>
        <item x="433"/>
        <item x="424"/>
        <item x="469"/>
        <item x="603"/>
        <item x="112"/>
        <item x="38"/>
        <item x="174"/>
        <item x="553"/>
        <item x="124"/>
        <item x="413"/>
        <item x="21"/>
        <item x="126"/>
        <item x="473"/>
        <item x="129"/>
        <item x="412"/>
        <item x="137"/>
        <item x="342"/>
        <item x="480"/>
        <item x="140"/>
        <item x="30"/>
        <item x="335"/>
        <item x="344"/>
        <item x="128"/>
        <item x="193"/>
        <item x="28"/>
        <item x="618"/>
        <item x="365"/>
        <item x="517"/>
        <item x="533"/>
        <item x="164"/>
        <item x="543"/>
        <item x="177"/>
        <item x="582"/>
        <item x="578"/>
        <item x="195"/>
        <item x="446"/>
        <item x="415"/>
        <item x="483"/>
        <item x="440"/>
        <item x="531"/>
        <item x="39"/>
        <item x="151"/>
        <item x="241"/>
        <item x="558"/>
        <item x="219"/>
        <item x="340"/>
        <item x="463"/>
        <item x="170"/>
        <item x="513"/>
        <item x="180"/>
        <item x="598"/>
        <item x="542"/>
        <item x="592"/>
        <item x="86"/>
        <item x="572"/>
        <item x="516"/>
        <item x="11"/>
        <item x="453"/>
        <item x="202"/>
        <item x="504"/>
        <item x="456"/>
        <item x="268"/>
        <item x="123"/>
        <item x="221"/>
        <item x="465"/>
        <item x="162"/>
        <item x="94"/>
        <item x="66"/>
        <item x="130"/>
        <item x="143"/>
        <item x="486"/>
        <item x="109"/>
        <item x="210"/>
        <item x="491"/>
        <item x="361"/>
        <item x="390"/>
        <item x="341"/>
        <item x="321"/>
        <item x="367"/>
        <item x="89"/>
        <item x="106"/>
        <item x="325"/>
        <item x="278"/>
        <item x="461"/>
        <item x="375"/>
        <item x="524"/>
        <item x="95"/>
        <item x="591"/>
        <item x="146"/>
        <item x="159"/>
        <item x="348"/>
        <item x="330"/>
        <item x="163"/>
        <item x="364"/>
        <item x="620"/>
        <item x="564"/>
        <item x="284"/>
        <item x="200"/>
        <item x="472"/>
        <item x="385"/>
        <item x="229"/>
        <item x="586"/>
        <item x="76"/>
        <item x="571"/>
        <item x="371"/>
        <item x="209"/>
        <item x="101"/>
        <item x="414"/>
        <item x="116"/>
        <item x="574"/>
        <item x="502"/>
        <item x="349"/>
        <item x="131"/>
        <item x="561"/>
        <item x="570"/>
        <item x="443"/>
        <item x="145"/>
        <item x="355"/>
        <item x="518"/>
        <item x="154"/>
        <item x="198"/>
        <item x="215"/>
        <item x="566"/>
        <item x="498"/>
        <item x="381"/>
        <item x="370"/>
        <item x="315"/>
        <item x="508"/>
        <item x="305"/>
        <item x="400"/>
        <item x="397"/>
        <item x="235"/>
        <item x="120"/>
        <item x="231"/>
        <item x="98"/>
        <item x="35"/>
        <item x="99"/>
        <item x="63"/>
        <item x="338"/>
        <item x="23"/>
        <item x="149"/>
        <item x="289"/>
        <item x="275"/>
        <item x="478"/>
        <item x="489"/>
        <item x="523"/>
        <item x="173"/>
        <item x="559"/>
        <item x="525"/>
        <item x="595"/>
        <item x="186"/>
        <item x="439"/>
        <item x="317"/>
        <item x="327"/>
        <item x="306"/>
        <item x="406"/>
        <item x="452"/>
        <item x="544"/>
        <item x="133"/>
        <item x="48"/>
        <item x="449"/>
        <item x="471"/>
        <item x="141"/>
        <item x="218"/>
        <item x="44"/>
        <item x="19"/>
        <item x="494"/>
        <item x="104"/>
        <item x="192"/>
        <item x="211"/>
        <item x="316"/>
        <item x="324"/>
        <item x="295"/>
        <item x="246"/>
        <item x="404"/>
        <item x="457"/>
        <item x="216"/>
        <item x="165"/>
        <item x="254"/>
        <item x="599"/>
        <item x="408"/>
        <item x="422"/>
        <item x="580"/>
        <item x="117"/>
        <item x="142"/>
        <item x="171"/>
        <item x="108"/>
        <item x="243"/>
        <item x="111"/>
        <item x="22"/>
        <item x="470"/>
        <item x="88"/>
        <item x="512"/>
        <item x="437"/>
        <item x="60"/>
        <item x="466"/>
        <item x="510"/>
        <item x="540"/>
        <item x="313"/>
        <item x="9"/>
        <item x="248"/>
        <item x="326"/>
        <item x="291"/>
        <item x="506"/>
        <item x="500"/>
        <item x="539"/>
        <item x="290"/>
        <item x="199"/>
        <item x="226"/>
        <item x="383"/>
        <item x="432"/>
        <item x="71"/>
        <item x="602"/>
        <item x="372"/>
        <item x="476"/>
        <item x="541"/>
        <item x="612"/>
        <item x="520"/>
        <item x="579"/>
        <item x="300"/>
        <item x="302"/>
        <item x="51"/>
        <item x="585"/>
        <item x="277"/>
        <item x="392"/>
        <item x="4"/>
        <item x="378"/>
        <item x="127"/>
        <item x="92"/>
        <item x="13"/>
        <item x="65"/>
        <item x="474"/>
        <item x="252"/>
        <item x="604"/>
        <item x="356"/>
        <item x="395"/>
        <item x="196"/>
        <item x="373"/>
        <item t="default"/>
      </items>
    </pivotField>
    <pivotField compact="0" numFmtId="165" outline="0" showAll="0"/>
    <pivotField compact="0" numFmtId="165" outline="0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Units_Sold" fld="13" baseField="0" baseItem="0"/>
  </dataFields>
  <chartFormats count="60"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5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5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5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5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5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6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5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5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6" format="52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6" format="53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6" format="54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7" format="5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5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5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5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60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7" format="6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7" format="62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7" format="63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7" format="64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7" format="65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642D8-2620-450D-90C3-27B95D57DC80}" name="PivotTable1" cacheId="50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7">
  <location ref="A4:L16" firstHeaderRow="1" firstDataRow="2" firstDataCol="1"/>
  <pivotFields count="16">
    <pivotField compact="0" outline="0" multipleItemSelectionAllowed="1" showAll="0">
      <items count="11">
        <item x="8"/>
        <item x="7"/>
        <item x="5"/>
        <item x="1"/>
        <item x="3"/>
        <item x="6"/>
        <item x="0"/>
        <item x="2"/>
        <item x="9"/>
        <item x="4"/>
        <item t="default"/>
      </items>
    </pivotField>
    <pivotField compact="0" outline="0" multipleItemSelectionAllowed="1" showAll="0">
      <items count="13">
        <item x="0"/>
        <item x="11"/>
        <item x="9"/>
        <item x="4"/>
        <item x="5"/>
        <item x="8"/>
        <item x="10"/>
        <item x="1"/>
        <item x="7"/>
        <item x="6"/>
        <item x="3"/>
        <item x="2"/>
        <item t="default"/>
      </items>
    </pivotField>
    <pivotField axis="axisRow" compact="0" showAll="0" sortType="descending">
      <items count="11">
        <item x="0"/>
        <item x="2"/>
        <item x="6"/>
        <item x="3"/>
        <item x="8"/>
        <item x="7"/>
        <item x="4"/>
        <item x="9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>
      <items count="11">
        <item x="6"/>
        <item x="2"/>
        <item x="7"/>
        <item x="1"/>
        <item x="3"/>
        <item x="9"/>
        <item x="0"/>
        <item x="8"/>
        <item x="4"/>
        <item x="5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5">
        <item x="3"/>
        <item x="1"/>
        <item x="2"/>
        <item x="0"/>
        <item t="default"/>
      </items>
    </pivotField>
    <pivotField compact="0" numFmtId="165" outline="0" showAll="0"/>
    <pivotField compact="0" numFmtId="165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dataField="1" compact="0" numFmtId="165" outline="0" showAll="0"/>
  </pivotFields>
  <rowFields count="1">
    <field x="2"/>
  </rowFields>
  <rowItems count="11">
    <i>
      <x v="3"/>
    </i>
    <i>
      <x v="8"/>
    </i>
    <i>
      <x v="4"/>
    </i>
    <i>
      <x v="6"/>
    </i>
    <i>
      <x v="1"/>
    </i>
    <i>
      <x/>
    </i>
    <i>
      <x v="5"/>
    </i>
    <i>
      <x v="9"/>
    </i>
    <i>
      <x v="7"/>
    </i>
    <i>
      <x v="2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Net Revenue" fld="15" baseField="0" baseItem="0" numFmtId="165"/>
  </dataFields>
  <chartFormats count="11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3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5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" format="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5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5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5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7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7" format="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7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7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7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9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9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0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0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0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0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0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1" format="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1" format="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1" format="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1" format="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1" format="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3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3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3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4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4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4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4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4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5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5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5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5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5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6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6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6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6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6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5BD33-BAB2-421F-A47F-45B841106881}" name="PivotTable1" cacheId="503" applyNumberFormats="0" applyBorderFormats="0" applyFontFormats="0" applyPatternFormats="0" applyAlignmentFormats="0" applyWidthHeightFormats="1" dataCaption="Values" updatedVersion="8" minRefreshableVersion="3" showDrill="0" useAutoFormatting="1" rowGrandTotals="0" itemPrintTitles="1" createdVersion="8" indent="0" compact="0" outline="1" outlineData="1" compactData="0" multipleFieldFilters="0" chartFormat="11">
  <location ref="A38:B48" firstHeaderRow="1" firstDataRow="1" firstDataCol="1"/>
  <pivotFields count="16">
    <pivotField axis="axisRow" compact="0" outline="0" subtotalTop="0" showAll="0" sortType="ascending" defaultSubtotal="0">
      <items count="10">
        <item x="8"/>
        <item x="7"/>
        <item x="5"/>
        <item x="1"/>
        <item x="3"/>
        <item x="6"/>
        <item x="0"/>
        <item x="2"/>
        <item x="9"/>
        <item x="4"/>
      </items>
    </pivotField>
    <pivotField compact="0" outline="0" subtotalTop="0" showAll="0" defaultSubtotal="0">
      <items count="12">
        <item x="0"/>
        <item x="11"/>
        <item x="9"/>
        <item x="4"/>
        <item x="5"/>
        <item x="8"/>
        <item x="10"/>
        <item x="1"/>
        <item x="7"/>
        <item x="6"/>
        <item x="3"/>
        <item x="2"/>
      </items>
    </pivotField>
    <pivotField compact="0" outline="0" subtotalTop="0" showAll="0" defaultSubtotal="0">
      <items count="10">
        <item x="0"/>
        <item x="2"/>
        <item x="6"/>
        <item x="3"/>
        <item x="8"/>
        <item x="7"/>
        <item x="4"/>
        <item x="9"/>
        <item x="5"/>
        <item x="1"/>
      </items>
    </pivotField>
    <pivotField compact="0" outline="0" subtotalTop="0" showAll="0" defaultSubtotal="0">
      <items count="10">
        <item x="6"/>
        <item x="2"/>
        <item x="7"/>
        <item x="1"/>
        <item x="3"/>
        <item x="9"/>
        <item x="0"/>
        <item x="8"/>
        <item x="4"/>
        <item x="5"/>
      </items>
    </pivotField>
    <pivotField compact="0" outline="0" subtotalTop="0" showAll="0" defaultSubtotal="0">
      <items count="2">
        <item x="1"/>
        <item x="0"/>
      </items>
    </pivotField>
    <pivotField compact="0" outline="0" subtotalTop="0" showAll="0" defaultSubtotal="0">
      <items count="4">
        <item x="3"/>
        <item x="1"/>
        <item x="2"/>
        <item x="0"/>
      </items>
    </pivotField>
    <pivotField compact="0" numFmtId="165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5" outline="0" subtotalTop="0" showAll="0" defaultSubtotal="0"/>
    <pivotField dataField="1" compact="0" numFmtId="165" outline="0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Sum of Net Revenue" fld="15" baseField="0" baseItem="0" numFmtId="165"/>
  </dataFields>
  <chartFormats count="1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B1C99-15CC-4E2D-993E-CC6789F13649}" name="PivotTable2" cacheId="503" applyNumberFormats="0" applyBorderFormats="0" applyFontFormats="0" applyPatternFormats="0" applyAlignmentFormats="0" applyWidthHeightFormats="1" dataCaption="Values" updatedVersion="8" minRefreshableVersion="3" showDrill="0" useAutoFormatting="1" rowGrandTotals="0" itemPrintTitles="1" createdVersion="8" indent="0" compact="0" outline="1" outlineData="1" compactData="0" multipleFieldFilters="0" chartFormat="20">
  <location ref="A3:L14" firstHeaderRow="1" firstDataRow="2" firstDataCol="1"/>
  <pivotFields count="16">
    <pivotField axis="axisRow" compact="0" outline="0" subtotalTop="0" showAll="0" sortType="ascending" defaultSubtotal="0">
      <items count="10">
        <item x="8"/>
        <item x="7"/>
        <item x="5"/>
        <item x="1"/>
        <item x="3"/>
        <item x="6"/>
        <item x="0"/>
        <item x="2"/>
        <item x="9"/>
        <item x="4"/>
      </items>
    </pivotField>
    <pivotField compact="0" outline="0" subtotalTop="0" showAll="0" defaultSubtotal="0">
      <items count="12">
        <item x="0"/>
        <item x="11"/>
        <item x="9"/>
        <item x="4"/>
        <item x="5"/>
        <item x="8"/>
        <item x="10"/>
        <item x="1"/>
        <item x="7"/>
        <item x="6"/>
        <item x="3"/>
        <item x="2"/>
      </items>
    </pivotField>
    <pivotField compact="0" outline="0" subtotalTop="0" showAll="0" defaultSubtotal="0">
      <items count="10">
        <item x="0"/>
        <item x="2"/>
        <item x="6"/>
        <item x="3"/>
        <item x="8"/>
        <item x="7"/>
        <item x="4"/>
        <item x="9"/>
        <item x="5"/>
        <item x="1"/>
      </items>
    </pivotField>
    <pivotField axis="axisCol" compact="0" outline="0" subtotalTop="0" showAll="0" defaultSubtotal="0">
      <items count="10">
        <item x="6"/>
        <item x="2"/>
        <item x="7"/>
        <item x="1"/>
        <item x="3"/>
        <item x="9"/>
        <item x="0"/>
        <item x="8"/>
        <item x="4"/>
        <item x="5"/>
      </items>
    </pivotField>
    <pivotField compact="0" outline="0" subtotalTop="0" showAll="0" defaultSubtotal="0">
      <items count="2">
        <item x="1"/>
        <item x="0"/>
      </items>
    </pivotField>
    <pivotField compact="0" outline="0" subtotalTop="0" showAll="0" defaultSubtotal="0">
      <items count="4">
        <item x="3"/>
        <item x="1"/>
        <item x="2"/>
        <item x="0"/>
      </items>
    </pivotField>
    <pivotField compact="0" numFmtId="165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5" outline="0" subtotalTop="0" showAll="0" defaultSubtotal="0"/>
    <pivotField dataField="1" compact="0" numFmtId="165" outline="0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Net Revenue" fld="15" baseField="0" baseItem="0" numFmtId="165"/>
  </dataFields>
  <chartFormats count="33">
    <chartFormat chart="8" format="1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8" format="1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" format="1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9" format="1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9" format="1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9" format="1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0" format="1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0" format="1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0" format="1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1" format="1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1" format="1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1" format="1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2" format="1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2" format="1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2" format="1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1" format="1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1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1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1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1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1" format="1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1" format="1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3" format="1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1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1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1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1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3" format="1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3" format="1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3" format="1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3" format="1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3" format="1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88207-2038-4A36-8D2C-76E7ECA0AABB}" name="PivotTable3" cacheId="503" applyNumberFormats="0" applyBorderFormats="0" applyFontFormats="0" applyPatternFormats="0" applyAlignmentFormats="0" applyWidthHeightFormats="1" dataCaption="Values" updatedVersion="8" minRefreshableVersion="3" showDrill="0" rowGrandTotals="0" itemPrintTitles="1" createdVersion="8" indent="0" compact="0" outline="1" outlineData="1" compactData="0" multipleFieldFilters="0" chartFormat="9">
  <location ref="A17:A27" firstHeaderRow="1" firstDataRow="1" firstDataCol="1"/>
  <pivotFields count="16">
    <pivotField compact="0" outline="0" subtotalTop="0" showAll="0" sortType="ascending" defaultSubtotal="0">
      <items count="10">
        <item x="8"/>
        <item x="7"/>
        <item x="5"/>
        <item x="1"/>
        <item x="3"/>
        <item x="6"/>
        <item x="0"/>
        <item x="2"/>
        <item x="9"/>
        <item x="4"/>
      </items>
    </pivotField>
    <pivotField compact="0" outline="0" subtotalTop="0" showAll="0" defaultSubtotal="0">
      <items count="12">
        <item x="0"/>
        <item x="11"/>
        <item x="9"/>
        <item x="4"/>
        <item x="5"/>
        <item x="8"/>
        <item x="10"/>
        <item x="1"/>
        <item x="7"/>
        <item x="6"/>
        <item x="3"/>
        <item x="2"/>
      </items>
    </pivotField>
    <pivotField compact="0" outline="0" subtotalTop="0" showAll="0" defaultSubtotal="0"/>
    <pivotField axis="axisRow" compact="0" outline="0" subtotalTop="0" showAll="0" defaultSubtotal="0">
      <items count="10">
        <item x="6"/>
        <item x="2"/>
        <item x="7"/>
        <item x="1"/>
        <item x="3"/>
        <item x="9"/>
        <item x="0"/>
        <item x="8"/>
        <item x="4"/>
        <item x="5"/>
      </items>
    </pivotField>
    <pivotField compact="0" outline="0" subtotalTop="0" showAll="0" defaultSubtotal="0">
      <items count="2">
        <item x="1"/>
        <item x="0"/>
      </items>
    </pivotField>
    <pivotField compact="0" outline="0" subtotalTop="0" showAll="0" defaultSubtotal="0">
      <items count="4">
        <item x="3"/>
        <item x="1"/>
        <item x="2"/>
        <item x="0"/>
      </items>
    </pivotField>
    <pivotField compact="0" numFmtId="165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5" outline="0" subtotalTop="0" showAll="0" defaultSubtotal="0"/>
    <pivotField compact="0" numFmtId="165" outline="0" subtotalTop="0" showAll="0" defaultSubtota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AEA43-6ADF-4A20-B7DF-9571385B66A6}" name="PivotTable1" cacheId="5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:B16" firstHeaderRow="1" firstDataRow="1" firstDataCol="1"/>
  <pivotFields count="16">
    <pivotField compact="0" outline="0" showAll="0">
      <items count="11">
        <item x="8"/>
        <item x="7"/>
        <item x="5"/>
        <item x="1"/>
        <item x="3"/>
        <item x="6"/>
        <item x="0"/>
        <item x="2"/>
        <item x="9"/>
        <item x="4"/>
        <item t="default"/>
      </items>
    </pivotField>
    <pivotField axis="axisRow" compact="0" outline="0" showAll="0">
      <items count="13">
        <item x="0"/>
        <item x="11"/>
        <item x="9"/>
        <item x="4"/>
        <item x="5"/>
        <item x="8"/>
        <item x="10"/>
        <item x="1"/>
        <item x="7"/>
        <item x="6"/>
        <item x="3"/>
        <item x="2"/>
        <item t="default"/>
      </items>
    </pivotField>
    <pivotField compact="0" outline="0" showAll="0">
      <items count="11">
        <item x="0"/>
        <item x="2"/>
        <item x="6"/>
        <item x="3"/>
        <item x="8"/>
        <item x="7"/>
        <item x="4"/>
        <item x="9"/>
        <item x="5"/>
        <item x="1"/>
        <item t="default"/>
      </items>
    </pivotField>
    <pivotField compact="0" outline="0" showAll="0">
      <items count="11">
        <item x="6"/>
        <item x="2"/>
        <item x="7"/>
        <item x="1"/>
        <item x="3"/>
        <item x="9"/>
        <item x="0"/>
        <item x="8"/>
        <item x="4"/>
        <item x="5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5">
        <item x="3"/>
        <item x="1"/>
        <item x="2"/>
        <item x="0"/>
        <item t="default"/>
      </items>
    </pivotField>
    <pivotField compact="0" numFmtId="165" outline="0" showAll="0"/>
    <pivotField compact="0" numFmtId="165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dataField="1" compact="0" numFmtId="165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 Revenue" fld="15" baseField="0" baseItem="0" numFmtId="165"/>
  </dataFields>
  <chartFormats count="3">
    <chartFormat chart="11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7FE032-8839-497E-B9DC-F9A7976C9E82}" name="PivotTable2" cacheId="5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19:Q232" firstHeaderRow="1" firstDataRow="3" firstDataCol="2"/>
  <pivotFields count="16">
    <pivotField axis="axisRow" compact="0" outline="0" showAll="0">
      <items count="11">
        <item x="8"/>
        <item x="7"/>
        <item x="5"/>
        <item x="1"/>
        <item x="3"/>
        <item x="6"/>
        <item x="0"/>
        <item x="2"/>
        <item x="9"/>
        <item x="4"/>
        <item t="default"/>
      </items>
    </pivotField>
    <pivotField compact="0" outline="0" showAll="0"/>
    <pivotField compact="0" outline="0" showAll="0"/>
    <pivotField axis="axisRow" compact="0" outline="0" showAll="0">
      <items count="11">
        <item x="6"/>
        <item x="2"/>
        <item x="7"/>
        <item x="1"/>
        <item x="3"/>
        <item x="9"/>
        <item x="0"/>
        <item x="8"/>
        <item x="4"/>
        <item x="5"/>
        <item t="default"/>
      </items>
    </pivotField>
    <pivotField compact="0" outline="0" showAll="0"/>
    <pivotField axis="axisCol" compact="0" outline="0" showAll="0">
      <items count="5">
        <item x="3"/>
        <item x="1"/>
        <item x="2"/>
        <item x="0"/>
        <item t="default"/>
      </items>
    </pivotField>
    <pivotField compact="0" numFmtId="165" outline="0" showAll="0"/>
    <pivotField dataField="1" compact="0" numFmtId="165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numFmtId="165" outline="0" showAll="0"/>
    <pivotField compact="0" numFmtId="165" outline="0" showAll="0"/>
  </pivotFields>
  <rowFields count="2">
    <field x="3"/>
    <field x="0"/>
  </rowFields>
  <rowItems count="11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6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8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9"/>
    </i>
    <i t="grand">
      <x/>
    </i>
  </rowItems>
  <colFields count="2">
    <field x="5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Units_Sold" fld="13" baseField="0" baseItem="0"/>
    <dataField name="Sum of Marketing_Spend_Usd" fld="7" baseField="0" baseItem="0" numFmtId="165"/>
    <dataField name="Sum of Gross Revenue" fld="1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89569-B022-4201-B4C1-A93670B1EF5B}" name="PivotTable1" cacheId="5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14" firstHeaderRow="0" firstDataRow="1" firstDataCol="2"/>
  <pivotFields count="16">
    <pivotField axis="axisRow" compact="0" outline="0" showAll="0">
      <items count="11">
        <item x="8"/>
        <item x="7"/>
        <item x="5"/>
        <item x="1"/>
        <item x="3"/>
        <item x="6"/>
        <item x="0"/>
        <item x="2"/>
        <item x="9"/>
        <item x="4"/>
        <item t="default"/>
      </items>
    </pivotField>
    <pivotField compact="0" outline="0" showAll="0"/>
    <pivotField compact="0" outline="0" showAll="0"/>
    <pivotField axis="axisRow" compact="0" outline="0" showAll="0">
      <items count="11">
        <item x="6"/>
        <item x="2"/>
        <item x="7"/>
        <item x="1"/>
        <item x="3"/>
        <item x="9"/>
        <item x="0"/>
        <item x="8"/>
        <item x="4"/>
        <item x="5"/>
        <item t="default"/>
      </items>
    </pivotField>
    <pivotField compact="0" outline="0" showAll="0"/>
    <pivotField compact="0" outline="0" showAll="0"/>
    <pivotField compact="0" numFmtId="165" outline="0" showAll="0"/>
    <pivotField dataField="1" compact="0" numFmtId="165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5" outline="0" showAll="0"/>
    <pivotField dataField="1" compact="0" numFmtId="165" outline="0" showAll="0"/>
  </pivotFields>
  <rowFields count="2">
    <field x="3"/>
    <field x="0"/>
  </rowFields>
  <rowItems count="11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6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8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s_Sold" fld="13" baseField="0" baseItem="0"/>
    <dataField name="Sum of Marketing_Spend_Usd" fld="7" baseField="0" baseItem="0" numFmtId="165"/>
    <dataField name="Sum of Net Revenue" fld="1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31FCBA-87EB-4D88-BC6C-F54AB794ECE7}" name="PivotTable3" cacheId="5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8:F50" firstHeaderRow="1" firstDataRow="2" firstDataCol="1"/>
  <pivotFields count="16">
    <pivotField axis="axisRow" compact="0" outline="0" showAll="0">
      <items count="11">
        <item x="8"/>
        <item x="7"/>
        <item x="5"/>
        <item x="1"/>
        <item x="3"/>
        <item x="6"/>
        <item x="0"/>
        <item x="2"/>
        <item x="9"/>
        <item x="4"/>
        <item t="default"/>
      </items>
    </pivotField>
    <pivotField compact="0" outline="0" showAll="0">
      <items count="13">
        <item x="0"/>
        <item x="11"/>
        <item x="9"/>
        <item x="4"/>
        <item x="5"/>
        <item x="8"/>
        <item x="10"/>
        <item x="1"/>
        <item x="7"/>
        <item x="6"/>
        <item x="3"/>
        <item x="2"/>
        <item t="default"/>
      </items>
    </pivotField>
    <pivotField compact="0" outline="0" showAll="0">
      <items count="11">
        <item x="0"/>
        <item x="2"/>
        <item x="6"/>
        <item x="3"/>
        <item x="8"/>
        <item x="7"/>
        <item x="4"/>
        <item x="9"/>
        <item x="5"/>
        <item x="1"/>
        <item t="default"/>
      </items>
    </pivotField>
    <pivotField compact="0" outline="0" showAll="0">
      <items count="11">
        <item x="6"/>
        <item x="2"/>
        <item x="7"/>
        <item x="1"/>
        <item x="3"/>
        <item x="9"/>
        <item x="0"/>
        <item x="8"/>
        <item x="4"/>
        <item x="5"/>
        <item t="default"/>
      </items>
    </pivotField>
    <pivotField compact="0" outline="0" showAll="0">
      <items count="3">
        <item x="1"/>
        <item x="0"/>
        <item t="default"/>
      </items>
    </pivotField>
    <pivotField axis="axisCol" compact="0" outline="0" showAll="0">
      <items count="5">
        <item x="3"/>
        <item x="1"/>
        <item x="2"/>
        <item x="0"/>
        <item t="default"/>
      </items>
    </pivotField>
    <pivotField compact="0" numFmtId="165" outline="0" showAll="0"/>
    <pivotField compact="0" numFmtId="165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dataField="1" compact="0" numFmtId="165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 Revenue" fld="15" baseField="0" baseItem="0" numFmtId="165"/>
  </dataFields>
  <chartFormats count="2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D5A0E-0DEA-44F9-8C85-A78FA3C79DB0}" name="PivotTable2" cacheId="5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21:F33" firstHeaderRow="1" firstDataRow="2" firstDataCol="1"/>
  <pivotFields count="16">
    <pivotField axis="axisRow" compact="0" outline="0" showAll="0">
      <items count="11">
        <item x="8"/>
        <item x="7"/>
        <item x="5"/>
        <item x="1"/>
        <item x="3"/>
        <item x="6"/>
        <item x="0"/>
        <item x="2"/>
        <item x="9"/>
        <item x="4"/>
        <item t="default"/>
      </items>
    </pivotField>
    <pivotField compact="0" outline="0" showAll="0">
      <items count="13">
        <item x="0"/>
        <item x="11"/>
        <item x="9"/>
        <item x="4"/>
        <item x="5"/>
        <item x="8"/>
        <item x="10"/>
        <item x="1"/>
        <item x="7"/>
        <item x="6"/>
        <item x="3"/>
        <item x="2"/>
        <item t="default"/>
      </items>
    </pivotField>
    <pivotField compact="0" outline="0" showAll="0">
      <items count="11">
        <item x="0"/>
        <item x="2"/>
        <item x="6"/>
        <item x="3"/>
        <item x="8"/>
        <item x="7"/>
        <item x="4"/>
        <item x="9"/>
        <item x="5"/>
        <item x="1"/>
        <item t="default"/>
      </items>
    </pivotField>
    <pivotField compact="0" outline="0" showAll="0">
      <items count="11">
        <item x="6"/>
        <item x="2"/>
        <item x="7"/>
        <item x="1"/>
        <item x="3"/>
        <item x="9"/>
        <item x="0"/>
        <item x="8"/>
        <item x="4"/>
        <item x="5"/>
        <item t="default"/>
      </items>
    </pivotField>
    <pivotField compact="0" outline="0" showAll="0">
      <items count="3">
        <item x="1"/>
        <item x="0"/>
        <item t="default"/>
      </items>
    </pivotField>
    <pivotField axis="axisCol" compact="0" outline="0" showAll="0">
      <items count="5">
        <item x="3"/>
        <item x="1"/>
        <item x="2"/>
        <item x="0"/>
        <item t="default"/>
      </items>
    </pivotField>
    <pivotField compact="0" numFmtId="165" outline="0" showAll="0"/>
    <pivotField dataField="1" compact="0" numFmtId="165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Marketing_Spend_Usd" fld="7" baseField="0" baseItem="0" numFmtId="165"/>
  </dataFields>
  <chartFormats count="4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2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2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48F7C-C489-4FDC-96F2-602F592769BB}" name="PivotTable5" cacheId="5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76:B87" firstHeaderRow="1" firstDataRow="1" firstDataCol="1"/>
  <pivotFields count="16">
    <pivotField compact="0" outline="0" showAll="0">
      <items count="11">
        <item x="8"/>
        <item x="7"/>
        <item x="5"/>
        <item x="1"/>
        <item x="3"/>
        <item x="6"/>
        <item x="0"/>
        <item x="2"/>
        <item x="9"/>
        <item x="4"/>
        <item t="default"/>
      </items>
    </pivotField>
    <pivotField compact="0" outline="0" showAll="0">
      <items count="13">
        <item x="0"/>
        <item x="11"/>
        <item x="9"/>
        <item x="4"/>
        <item x="5"/>
        <item x="8"/>
        <item x="10"/>
        <item x="1"/>
        <item x="7"/>
        <item x="6"/>
        <item x="3"/>
        <item x="2"/>
        <item t="default"/>
      </items>
    </pivotField>
    <pivotField compact="0" outline="0" showAll="0">
      <items count="11">
        <item x="0"/>
        <item x="2"/>
        <item x="6"/>
        <item x="3"/>
        <item x="8"/>
        <item x="7"/>
        <item x="4"/>
        <item x="9"/>
        <item x="5"/>
        <item x="1"/>
        <item t="default"/>
      </items>
    </pivotField>
    <pivotField axis="axisRow" compact="0" outline="0" showAll="0">
      <items count="11">
        <item x="6"/>
        <item x="2"/>
        <item x="7"/>
        <item x="1"/>
        <item x="3"/>
        <item x="9"/>
        <item x="0"/>
        <item x="8"/>
        <item x="4"/>
        <item x="5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5">
        <item x="3"/>
        <item x="1"/>
        <item x="2"/>
        <item x="0"/>
        <item t="default"/>
      </items>
    </pivotField>
    <pivotField compact="0" numFmtId="165" outline="0" showAll="0"/>
    <pivotField dataField="1" compact="0" numFmtId="165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Marketing_Spend_Usd" fld="7" baseField="0" baseItem="0" numFmtId="165"/>
  </dataFields>
  <chartFormats count="5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3A395-2625-45D2-BBA5-3626C8D9C8B1}" name="PivotTable4" cacheId="5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59:B70" firstHeaderRow="1" firstDataRow="1" firstDataCol="1"/>
  <pivotFields count="16">
    <pivotField compact="0" outline="0" showAll="0">
      <items count="11">
        <item x="8"/>
        <item x="7"/>
        <item x="5"/>
        <item x="1"/>
        <item x="3"/>
        <item x="6"/>
        <item x="0"/>
        <item x="2"/>
        <item x="9"/>
        <item x="4"/>
        <item t="default"/>
      </items>
    </pivotField>
    <pivotField compact="0" outline="0" showAll="0">
      <items count="13">
        <item x="0"/>
        <item x="11"/>
        <item x="9"/>
        <item x="4"/>
        <item x="5"/>
        <item x="8"/>
        <item x="10"/>
        <item x="1"/>
        <item x="7"/>
        <item x="6"/>
        <item x="3"/>
        <item x="2"/>
        <item t="default"/>
      </items>
    </pivotField>
    <pivotField compact="0" outline="0" showAll="0">
      <items count="11">
        <item x="0"/>
        <item x="2"/>
        <item x="6"/>
        <item x="3"/>
        <item x="8"/>
        <item x="7"/>
        <item x="4"/>
        <item x="9"/>
        <item x="5"/>
        <item x="1"/>
        <item t="default"/>
      </items>
    </pivotField>
    <pivotField axis="axisRow" compact="0" outline="0" showAll="0">
      <items count="11">
        <item x="6"/>
        <item x="2"/>
        <item x="7"/>
        <item x="1"/>
        <item x="3"/>
        <item x="9"/>
        <item x="0"/>
        <item x="8"/>
        <item x="4"/>
        <item x="5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5">
        <item x="3"/>
        <item x="1"/>
        <item x="2"/>
        <item x="0"/>
        <item t="default"/>
      </items>
    </pivotField>
    <pivotField compact="0" numFmtId="165" outline="0" showAll="0"/>
    <pivotField compact="0" numFmtId="165" outline="0" showAll="0"/>
    <pivotField dataField="1"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Dealership_Count" fld="8" baseField="0" baseItem="0"/>
  </dataFields>
  <chartFormats count="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9C5F8-0374-4993-829A-7ECD5BFFB5D9}" name="PivotTable1" cacheId="5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4" firstHeaderRow="1" firstDataRow="1" firstDataCol="1"/>
  <pivotFields count="16">
    <pivotField axis="axisRow" compact="0" outline="0" showAll="0">
      <items count="11">
        <item x="8"/>
        <item x="7"/>
        <item x="5"/>
        <item x="1"/>
        <item x="3"/>
        <item x="6"/>
        <item x="0"/>
        <item x="2"/>
        <item x="9"/>
        <item x="4"/>
        <item t="default"/>
      </items>
    </pivotField>
    <pivotField compact="0" outline="0" showAll="0">
      <items count="13">
        <item x="0"/>
        <item x="11"/>
        <item x="9"/>
        <item x="4"/>
        <item x="5"/>
        <item x="8"/>
        <item x="10"/>
        <item x="1"/>
        <item x="7"/>
        <item x="6"/>
        <item x="3"/>
        <item x="2"/>
        <item t="default"/>
      </items>
    </pivotField>
    <pivotField compact="0" outline="0" showAll="0">
      <items count="11">
        <item x="0"/>
        <item x="2"/>
        <item x="6"/>
        <item x="3"/>
        <item x="8"/>
        <item x="7"/>
        <item x="4"/>
        <item x="9"/>
        <item x="5"/>
        <item x="1"/>
        <item t="default"/>
      </items>
    </pivotField>
    <pivotField compact="0" outline="0" showAll="0">
      <items count="11">
        <item x="6"/>
        <item x="2"/>
        <item x="7"/>
        <item x="1"/>
        <item x="3"/>
        <item x="9"/>
        <item x="0"/>
        <item x="8"/>
        <item x="4"/>
        <item x="5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5">
        <item x="3"/>
        <item x="1"/>
        <item x="2"/>
        <item x="0"/>
        <item t="default"/>
      </items>
    </pivotField>
    <pivotField compact="0" numFmtId="165" outline="0" showAll="0"/>
    <pivotField dataField="1" compact="0" numFmtId="165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Marketing_Spend_Usd" fld="7" baseField="0" baseItem="0" numFmtId="165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1" xr10:uid="{6EC97B3C-7C79-4C55-B49B-58029A7AA315}" sourceName="Country">
  <pivotTables>
    <pivotTable tabId="5" name="PivotTable1"/>
    <pivotTable tabId="4" name="PivotTable1"/>
    <pivotTable tabId="5" name="PivotTable2"/>
    <pivotTable tabId="2" name="PivotTable1"/>
    <pivotTable tabId="12" name="PivotTable3"/>
    <pivotTable tabId="12" name="PivotTable2"/>
    <pivotTable tabId="12" name="PivotTable1"/>
    <pivotTable tabId="6" name="PivotTable1"/>
    <pivotTable tabId="12" name="PivotTable4"/>
    <pivotTable tabId="12" name="PivotTable5"/>
  </pivotTables>
  <data>
    <tabular pivotCacheId="403333023">
      <items count="10">
        <i x="0" s="1"/>
        <i x="2" s="1"/>
        <i x="6" s="1"/>
        <i x="3" s="1"/>
        <i x="8" s="1"/>
        <i x="7" s="1"/>
        <i x="4" s="1"/>
        <i x="9" s="1"/>
        <i x="5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5B9309E7-817A-4913-9821-547F48B3A486}" sourceName="Year">
  <pivotTables>
    <pivotTable tabId="5" name="PivotTable2"/>
    <pivotTable tabId="5" name="PivotTable3"/>
  </pivotTables>
  <data>
    <tabular pivotCacheId="403333023">
      <items count="10">
        <i x="8" s="1"/>
        <i x="7" s="1"/>
        <i x="5" s="1"/>
        <i x="1" s="1"/>
        <i x="3" s="1"/>
        <i x="6" s="1"/>
        <i x="0" s="1"/>
        <i x="2" s="1"/>
        <i x="9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del1" xr10:uid="{4B187C6D-7B6C-4D0D-A2AE-A3E796A0FC98}" sourceName="Model">
  <pivotTables>
    <pivotTable tabId="5" name="PivotTable1"/>
    <pivotTable tabId="5" name="PivotTable3"/>
    <pivotTable tabId="5" name="PivotTable2"/>
    <pivotTable tabId="4" name="PivotTable1"/>
    <pivotTable tabId="6" name="PivotTable1"/>
    <pivotTable tabId="12" name="PivotTable1"/>
    <pivotTable tabId="12" name="PivotTable2"/>
    <pivotTable tabId="12" name="PivotTable3"/>
  </pivotTables>
  <data>
    <tabular pivotCacheId="403333023">
      <items count="10">
        <i x="6" s="1"/>
        <i x="2" s="1"/>
        <i x="7" s="1"/>
        <i x="1" s="1"/>
        <i x="3" s="1"/>
        <i x="9" s="1"/>
        <i x="0" s="1"/>
        <i x="8" s="1"/>
        <i x="4" s="1"/>
        <i x="5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del" xr10:uid="{1D10A6B8-D9FA-4182-A9B1-27E5B0AEAE05}" sourceName="Model">
  <data>
    <tabular pivotCacheId="403333023">
      <items count="10">
        <i x="6"/>
        <i x="2"/>
        <i x="7"/>
        <i x="1" s="1"/>
        <i x="3"/>
        <i x="9"/>
        <i x="0"/>
        <i x="8"/>
        <i x="4"/>
        <i x="5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6FF3CDA5-9A45-4D60-A08B-0DC4BD0638B6}" sourceName="Month">
  <pivotTables>
    <pivotTable tabId="12" name="PivotTable1"/>
    <pivotTable tabId="12" name="PivotTable2"/>
    <pivotTable tabId="12" name="PivotTable3"/>
    <pivotTable tabId="2" name="PivotTable1"/>
    <pivotTable tabId="4" name="PivotTable1"/>
    <pivotTable tabId="5" name="PivotTable3"/>
    <pivotTable tabId="5" name="PivotTable1"/>
    <pivotTable tabId="5" name="PivotTable2"/>
    <pivotTable tabId="12" name="PivotTable4"/>
    <pivotTable tabId="12" name="PivotTable5"/>
  </pivotTables>
  <data>
    <tabular pivotCacheId="403333023">
      <items count="12">
        <i x="0" s="1"/>
        <i x="11" s="1"/>
        <i x="9" s="1"/>
        <i x="4" s="1"/>
        <i x="5" s="1"/>
        <i x="8" s="1"/>
        <i x="10" s="1"/>
        <i x="1" s="1"/>
        <i x="7" s="1"/>
        <i x="6" s="1"/>
        <i x="3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" xr10:uid="{B25EF8D8-99B4-4DF6-B431-1D8BA263E9A8}" sourceName="Segment">
  <pivotTables>
    <pivotTable tabId="2" name="PivotTable1"/>
    <pivotTable tabId="4" name="PivotTable1"/>
    <pivotTable tabId="5" name="PivotTable1"/>
    <pivotTable tabId="5" name="PivotTable2"/>
    <pivotTable tabId="5" name="PivotTable3"/>
    <pivotTable tabId="6" name="PivotTable1"/>
    <pivotTable tabId="12" name="PivotTable1"/>
    <pivotTable tabId="12" name="PivotTable3"/>
    <pivotTable tabId="12" name="PivotTable2"/>
    <pivotTable tabId="12" name="PivotTable4"/>
    <pivotTable tabId="12" name="PivotTable5"/>
  </pivotTables>
  <data>
    <tabular pivotCacheId="403333023">
      <items count="2">
        <i x="1" s="1"/>
        <i x="0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ngine_Type" xr10:uid="{FFB681AB-E804-411E-8B4A-A6C7AAA5134D}" sourceName="Engine_Type">
  <pivotTables>
    <pivotTable tabId="12" name="PivotTable2"/>
    <pivotTable tabId="12" name="PivotTable3"/>
    <pivotTable tabId="12" name="PivotTable1"/>
    <pivotTable tabId="2" name="PivotTable1"/>
    <pivotTable tabId="4" name="PivotTable1"/>
    <pivotTable tabId="5" name="PivotTable1"/>
    <pivotTable tabId="5" name="PivotTable2"/>
    <pivotTable tabId="5" name="PivotTable3"/>
    <pivotTable tabId="6" name="PivotTable1"/>
    <pivotTable tabId="12" name="PivotTable4"/>
    <pivotTable tabId="12" name="PivotTable5"/>
  </pivotTables>
  <data>
    <tabular pivotCacheId="403333023">
      <items count="4">
        <i x="3" s="1"/>
        <i x="1" s="1"/>
        <i x="2" s="1"/>
        <i x="0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1" xr10:uid="{96894F2B-B7F5-4DFE-9F6C-1E20EA3A6376}" sourceName="Year">
  <pivotTables>
    <pivotTable tabId="12" name="PivotTable4"/>
    <pivotTable tabId="2" name="PivotTable1"/>
    <pivotTable tabId="4" name="PivotTable1"/>
    <pivotTable tabId="12" name="PivotTable5"/>
  </pivotTables>
  <data>
    <tabular pivotCacheId="403333023">
      <items count="10">
        <i x="8" s="1"/>
        <i x="7" s="1"/>
        <i x="5" s="1"/>
        <i x="1" s="1"/>
        <i x="3" s="1"/>
        <i x="6" s="1"/>
        <i x="0" s="1"/>
        <i x="2" s="1"/>
        <i x="9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 1" xr10:uid="{510B04AB-005A-4747-B057-66815388B5CC}" cache="Slicer_Country1" caption="Country" rowHeight="228600"/>
  <slicer name="Model 2" xr10:uid="{3C026800-D880-46D4-A5EA-1262F0CD1AD6}" cache="Slicer_Model1" caption="Model" startItem="1" rowHeight="228600"/>
  <slicer name="Month" xr10:uid="{AEE4DDCF-AF21-423B-BD5C-2DBDBB43B57E}" cache="Slicer_Month" caption="Month" startItem="2" rowHeight="228600"/>
  <slicer name="Segment" xr10:uid="{F3250858-BC60-491C-A591-7C9227BE0902}" cache="Slicer_Segment" caption="Segment" rowHeight="228600"/>
  <slicer name="Engine_Type" xr10:uid="{A1F32B8A-EAE0-403D-890C-E70D51DE9184}" cache="Slicer_Engine_Type" caption="Engine_Type" rowHeight="228600"/>
  <slicer name="Year 1" xr10:uid="{7A241EAD-8D7F-4587-84D5-9EB89BBD736E}" cache="Slicer_Year1" caption="Year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81A3ED2E-1855-46D4-A508-E4BF227DEF6A}" cache="Slicer_Country1" caption="Country" showCaption="0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D8C01C21-8220-4B1F-B3F9-39CCACABA58B}" cache="Slicer_Year" caption="Year" rowHeight="228600"/>
  <slicer name="Model 1" xr10:uid="{A06F67C1-763E-4742-A409-5A677FBE60A7}" cache="Slicer_Model1" caption="Model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l" xr10:uid="{3AA22BD6-CA20-4927-ABCD-24F24F9719B4}" cache="Slicer_Model" caption="Model" startItem="1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microsoft.com/office/2007/relationships/slicer" Target="../slicers/slicer3.xm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drawing" Target="../drawings/drawing6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832B-05AC-498D-B206-640E3E64EC38}">
  <dimension ref="A1:P1019"/>
  <sheetViews>
    <sheetView workbookViewId="0">
      <pane ySplit="1" topLeftCell="A36" activePane="bottomLeft" state="frozen"/>
      <selection pane="bottomLeft" activeCell="F18" sqref="F18"/>
    </sheetView>
  </sheetViews>
  <sheetFormatPr defaultRowHeight="15"/>
  <cols>
    <col min="1" max="1" width="8.140625" bestFit="1" customWidth="1"/>
    <col min="5" max="5" width="12.5703125" customWidth="1"/>
    <col min="6" max="6" width="17" customWidth="1"/>
    <col min="7" max="7" width="12.7109375" style="3" bestFit="1" customWidth="1"/>
    <col min="8" max="8" width="23.140625" style="3" bestFit="1" customWidth="1"/>
    <col min="9" max="9" width="17" bestFit="1" customWidth="1"/>
    <col min="10" max="10" width="17.42578125" style="3" customWidth="1"/>
    <col min="11" max="11" width="20.42578125" customWidth="1"/>
    <col min="12" max="12" width="26.85546875" customWidth="1"/>
    <col min="13" max="13" width="20.7109375" customWidth="1"/>
    <col min="14" max="14" width="10.85546875" bestFit="1" customWidth="1"/>
    <col min="15" max="15" width="19.7109375" customWidth="1"/>
    <col min="16" max="16" width="18.5703125" customWidth="1"/>
  </cols>
  <sheetData>
    <row r="1" spans="1:16" s="1" customFormat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2021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3">
        <v>82234</v>
      </c>
      <c r="H2" s="3">
        <v>315372</v>
      </c>
      <c r="I2">
        <v>96</v>
      </c>
      <c r="J2" s="3">
        <v>0.97</v>
      </c>
      <c r="K2">
        <v>6.29</v>
      </c>
      <c r="L2">
        <v>1.2</v>
      </c>
      <c r="M2">
        <v>8</v>
      </c>
      <c r="N2">
        <v>324</v>
      </c>
      <c r="O2" s="3">
        <f>N2*G2</f>
        <v>26643816</v>
      </c>
      <c r="P2" s="3">
        <f>O2-H2</f>
        <v>26328444</v>
      </c>
    </row>
    <row r="3" spans="1:16">
      <c r="A3">
        <v>2018</v>
      </c>
      <c r="B3" t="s">
        <v>21</v>
      </c>
      <c r="C3" t="s">
        <v>17</v>
      </c>
      <c r="D3" t="s">
        <v>22</v>
      </c>
      <c r="E3" t="s">
        <v>23</v>
      </c>
      <c r="F3" t="s">
        <v>24</v>
      </c>
      <c r="G3" s="3">
        <v>82291</v>
      </c>
      <c r="H3" s="3">
        <v>447798</v>
      </c>
      <c r="I3">
        <v>234</v>
      </c>
      <c r="J3" s="3">
        <v>0.97</v>
      </c>
      <c r="K3">
        <v>6.29</v>
      </c>
      <c r="L3">
        <v>1.2</v>
      </c>
      <c r="M3">
        <v>7</v>
      </c>
      <c r="N3">
        <v>556</v>
      </c>
      <c r="O3" s="3">
        <f t="shared" ref="O3:O66" si="0">N3*G3</f>
        <v>45753796</v>
      </c>
      <c r="P3" s="3">
        <f t="shared" ref="P3:P66" si="1">O3-H3</f>
        <v>45305998</v>
      </c>
    </row>
    <row r="4" spans="1:16">
      <c r="A4">
        <v>2022</v>
      </c>
      <c r="B4" t="s">
        <v>25</v>
      </c>
      <c r="C4" t="s">
        <v>26</v>
      </c>
      <c r="D4" t="s">
        <v>27</v>
      </c>
      <c r="E4" t="s">
        <v>23</v>
      </c>
      <c r="F4" t="s">
        <v>28</v>
      </c>
      <c r="G4" s="3">
        <v>40594</v>
      </c>
      <c r="H4" s="3">
        <v>259755</v>
      </c>
      <c r="I4">
        <v>25</v>
      </c>
      <c r="J4" s="3">
        <v>0.97</v>
      </c>
      <c r="K4">
        <v>6.29</v>
      </c>
      <c r="L4">
        <v>1.2</v>
      </c>
      <c r="M4">
        <v>7</v>
      </c>
      <c r="N4">
        <v>152</v>
      </c>
      <c r="O4" s="3">
        <f t="shared" si="0"/>
        <v>6170288</v>
      </c>
      <c r="P4" s="3">
        <f t="shared" si="1"/>
        <v>5910533</v>
      </c>
    </row>
    <row r="5" spans="1:16">
      <c r="A5">
        <v>2019</v>
      </c>
      <c r="B5" t="s">
        <v>29</v>
      </c>
      <c r="C5" t="s">
        <v>17</v>
      </c>
      <c r="D5" t="s">
        <v>30</v>
      </c>
      <c r="E5" t="s">
        <v>23</v>
      </c>
      <c r="F5" t="s">
        <v>24</v>
      </c>
      <c r="G5" s="3">
        <v>42371</v>
      </c>
      <c r="H5" s="3">
        <v>323541</v>
      </c>
      <c r="I5">
        <v>319</v>
      </c>
      <c r="J5" s="3">
        <v>0.97</v>
      </c>
      <c r="K5">
        <v>6.29</v>
      </c>
      <c r="L5">
        <v>1.2</v>
      </c>
      <c r="M5">
        <v>5</v>
      </c>
      <c r="N5">
        <v>730</v>
      </c>
      <c r="O5" s="3">
        <f t="shared" si="0"/>
        <v>30930830</v>
      </c>
      <c r="P5" s="3">
        <f t="shared" si="1"/>
        <v>30607289</v>
      </c>
    </row>
    <row r="6" spans="1:16">
      <c r="A6">
        <v>2021</v>
      </c>
      <c r="B6" t="s">
        <v>25</v>
      </c>
      <c r="C6" t="s">
        <v>31</v>
      </c>
      <c r="D6" t="s">
        <v>32</v>
      </c>
      <c r="E6" t="s">
        <v>19</v>
      </c>
      <c r="F6" t="s">
        <v>33</v>
      </c>
      <c r="G6" s="3">
        <v>82315</v>
      </c>
      <c r="H6" s="3">
        <v>482015</v>
      </c>
      <c r="I6">
        <v>367</v>
      </c>
      <c r="J6" s="3">
        <v>0.97</v>
      </c>
      <c r="K6">
        <v>6.29</v>
      </c>
      <c r="L6">
        <v>1.2</v>
      </c>
      <c r="M6">
        <v>2</v>
      </c>
      <c r="N6">
        <v>1156</v>
      </c>
      <c r="O6" s="3">
        <f t="shared" si="0"/>
        <v>95156140</v>
      </c>
      <c r="P6" s="3">
        <f t="shared" si="1"/>
        <v>94674125</v>
      </c>
    </row>
    <row r="7" spans="1:16">
      <c r="A7">
        <v>2024</v>
      </c>
      <c r="B7" t="s">
        <v>25</v>
      </c>
      <c r="C7" t="s">
        <v>34</v>
      </c>
      <c r="D7" t="s">
        <v>30</v>
      </c>
      <c r="E7" t="s">
        <v>23</v>
      </c>
      <c r="F7" t="s">
        <v>33</v>
      </c>
      <c r="G7" s="3">
        <v>118564</v>
      </c>
      <c r="H7" s="3">
        <v>349155</v>
      </c>
      <c r="I7">
        <v>172</v>
      </c>
      <c r="J7" s="3">
        <v>0.97</v>
      </c>
      <c r="K7">
        <v>6.29</v>
      </c>
      <c r="L7">
        <v>1.2</v>
      </c>
      <c r="M7">
        <v>6</v>
      </c>
      <c r="N7">
        <v>687</v>
      </c>
      <c r="O7" s="3">
        <f t="shared" si="0"/>
        <v>81453468</v>
      </c>
      <c r="P7" s="3">
        <f t="shared" si="1"/>
        <v>81104313</v>
      </c>
    </row>
    <row r="8" spans="1:16">
      <c r="A8">
        <v>2017</v>
      </c>
      <c r="B8" t="s">
        <v>35</v>
      </c>
      <c r="C8" t="s">
        <v>26</v>
      </c>
      <c r="D8" t="s">
        <v>22</v>
      </c>
      <c r="E8" t="s">
        <v>23</v>
      </c>
      <c r="F8" t="s">
        <v>33</v>
      </c>
      <c r="G8" s="3">
        <v>114526</v>
      </c>
      <c r="H8" s="3">
        <v>129183</v>
      </c>
      <c r="I8">
        <v>107</v>
      </c>
      <c r="J8" s="3">
        <v>0.97</v>
      </c>
      <c r="K8">
        <v>6.29</v>
      </c>
      <c r="L8">
        <v>1.2</v>
      </c>
      <c r="M8">
        <v>10</v>
      </c>
      <c r="N8">
        <v>439</v>
      </c>
      <c r="O8" s="3">
        <f t="shared" si="0"/>
        <v>50276914</v>
      </c>
      <c r="P8" s="3">
        <f t="shared" si="1"/>
        <v>50147731</v>
      </c>
    </row>
    <row r="9" spans="1:16">
      <c r="A9">
        <v>2021</v>
      </c>
      <c r="B9" t="s">
        <v>35</v>
      </c>
      <c r="C9" t="s">
        <v>26</v>
      </c>
      <c r="D9" t="s">
        <v>36</v>
      </c>
      <c r="E9" t="s">
        <v>19</v>
      </c>
      <c r="F9" t="s">
        <v>33</v>
      </c>
      <c r="G9" s="3">
        <v>51626</v>
      </c>
      <c r="H9" s="3">
        <v>405398</v>
      </c>
      <c r="I9">
        <v>165</v>
      </c>
      <c r="J9" s="3">
        <v>0.97</v>
      </c>
      <c r="K9">
        <v>6.29</v>
      </c>
      <c r="L9">
        <v>1.2</v>
      </c>
      <c r="M9">
        <v>3</v>
      </c>
      <c r="N9">
        <v>489</v>
      </c>
      <c r="O9" s="3">
        <f t="shared" si="0"/>
        <v>25245114</v>
      </c>
      <c r="P9" s="3">
        <f t="shared" si="1"/>
        <v>24839716</v>
      </c>
    </row>
    <row r="10" spans="1:16">
      <c r="A10">
        <v>2022</v>
      </c>
      <c r="B10" t="s">
        <v>37</v>
      </c>
      <c r="C10" t="s">
        <v>38</v>
      </c>
      <c r="D10" t="s">
        <v>39</v>
      </c>
      <c r="E10" t="s">
        <v>23</v>
      </c>
      <c r="F10" t="s">
        <v>20</v>
      </c>
      <c r="G10" s="3">
        <v>42130</v>
      </c>
      <c r="H10" s="3">
        <v>487480</v>
      </c>
      <c r="I10">
        <v>11</v>
      </c>
      <c r="J10" s="3">
        <v>0.97</v>
      </c>
      <c r="K10">
        <v>6.29</v>
      </c>
      <c r="L10">
        <v>1.2</v>
      </c>
      <c r="M10">
        <v>4</v>
      </c>
      <c r="N10">
        <v>435</v>
      </c>
      <c r="O10" s="3">
        <f t="shared" si="0"/>
        <v>18326550</v>
      </c>
      <c r="P10" s="3">
        <f t="shared" si="1"/>
        <v>17839070</v>
      </c>
    </row>
    <row r="11" spans="1:16">
      <c r="A11">
        <v>2019</v>
      </c>
      <c r="B11" t="s">
        <v>21</v>
      </c>
      <c r="C11" t="s">
        <v>40</v>
      </c>
      <c r="D11" t="s">
        <v>41</v>
      </c>
      <c r="E11" t="s">
        <v>23</v>
      </c>
      <c r="F11" t="s">
        <v>20</v>
      </c>
      <c r="G11" s="3">
        <v>41828</v>
      </c>
      <c r="H11" s="3">
        <v>92317</v>
      </c>
      <c r="I11">
        <v>359</v>
      </c>
      <c r="J11" s="3">
        <v>0.97</v>
      </c>
      <c r="K11">
        <v>6.29</v>
      </c>
      <c r="L11">
        <v>1.2</v>
      </c>
      <c r="M11">
        <v>10</v>
      </c>
      <c r="N11">
        <v>1080</v>
      </c>
      <c r="O11" s="3">
        <f t="shared" si="0"/>
        <v>45174240</v>
      </c>
      <c r="P11" s="3">
        <f t="shared" si="1"/>
        <v>45081923</v>
      </c>
    </row>
    <row r="12" spans="1:16">
      <c r="A12">
        <v>2018</v>
      </c>
      <c r="B12" t="s">
        <v>37</v>
      </c>
      <c r="C12" t="s">
        <v>40</v>
      </c>
      <c r="D12" t="s">
        <v>27</v>
      </c>
      <c r="E12" t="s">
        <v>23</v>
      </c>
      <c r="F12" t="s">
        <v>24</v>
      </c>
      <c r="G12" s="3">
        <v>92514</v>
      </c>
      <c r="H12" s="3">
        <v>228986</v>
      </c>
      <c r="I12">
        <v>178</v>
      </c>
      <c r="J12" s="3">
        <v>0.97</v>
      </c>
      <c r="K12">
        <v>6.29</v>
      </c>
      <c r="L12">
        <v>1.2</v>
      </c>
      <c r="M12">
        <v>2</v>
      </c>
      <c r="N12">
        <v>447</v>
      </c>
      <c r="O12" s="3">
        <f t="shared" si="0"/>
        <v>41353758</v>
      </c>
      <c r="P12" s="3">
        <f t="shared" si="1"/>
        <v>41124772</v>
      </c>
    </row>
    <row r="13" spans="1:16">
      <c r="A13">
        <v>2022</v>
      </c>
      <c r="B13" t="s">
        <v>21</v>
      </c>
      <c r="C13" t="s">
        <v>31</v>
      </c>
      <c r="D13" t="s">
        <v>42</v>
      </c>
      <c r="E13" t="s">
        <v>19</v>
      </c>
      <c r="F13" t="s">
        <v>28</v>
      </c>
      <c r="G13" s="3">
        <v>87664</v>
      </c>
      <c r="H13" s="3">
        <v>265705</v>
      </c>
      <c r="I13">
        <v>324</v>
      </c>
      <c r="J13" s="3">
        <v>0.97</v>
      </c>
      <c r="K13">
        <v>6.29</v>
      </c>
      <c r="L13">
        <v>1.2</v>
      </c>
      <c r="M13">
        <v>2</v>
      </c>
      <c r="N13">
        <v>827</v>
      </c>
      <c r="O13" s="3">
        <f t="shared" si="0"/>
        <v>72498128</v>
      </c>
      <c r="P13" s="3">
        <f t="shared" si="1"/>
        <v>72232423</v>
      </c>
    </row>
    <row r="14" spans="1:16">
      <c r="A14">
        <v>2022</v>
      </c>
      <c r="B14" t="s">
        <v>43</v>
      </c>
      <c r="C14" t="s">
        <v>44</v>
      </c>
      <c r="D14" t="s">
        <v>42</v>
      </c>
      <c r="E14" t="s">
        <v>19</v>
      </c>
      <c r="F14" t="s">
        <v>33</v>
      </c>
      <c r="G14" s="3">
        <v>52883</v>
      </c>
      <c r="H14" s="3">
        <v>414633</v>
      </c>
      <c r="I14">
        <v>334</v>
      </c>
      <c r="J14" s="3">
        <v>0.97</v>
      </c>
      <c r="K14">
        <v>6.29</v>
      </c>
      <c r="L14">
        <v>1.2</v>
      </c>
      <c r="M14">
        <v>8</v>
      </c>
      <c r="N14">
        <v>712</v>
      </c>
      <c r="O14" s="3">
        <f t="shared" si="0"/>
        <v>37652696</v>
      </c>
      <c r="P14" s="3">
        <f t="shared" si="1"/>
        <v>37238063</v>
      </c>
    </row>
    <row r="15" spans="1:16">
      <c r="A15">
        <v>2017</v>
      </c>
      <c r="B15" t="s">
        <v>16</v>
      </c>
      <c r="C15" t="s">
        <v>45</v>
      </c>
      <c r="D15" t="s">
        <v>42</v>
      </c>
      <c r="E15" t="s">
        <v>19</v>
      </c>
      <c r="F15" t="s">
        <v>24</v>
      </c>
      <c r="G15" s="3">
        <v>78059</v>
      </c>
      <c r="H15" s="3">
        <v>226326</v>
      </c>
      <c r="I15">
        <v>384</v>
      </c>
      <c r="J15" s="3">
        <v>0.97</v>
      </c>
      <c r="K15">
        <v>6.29</v>
      </c>
      <c r="L15">
        <v>1.2</v>
      </c>
      <c r="M15">
        <v>8</v>
      </c>
      <c r="N15">
        <v>1181</v>
      </c>
      <c r="O15" s="3">
        <f t="shared" si="0"/>
        <v>92187679</v>
      </c>
      <c r="P15" s="3">
        <f t="shared" si="1"/>
        <v>91961353</v>
      </c>
    </row>
    <row r="16" spans="1:16">
      <c r="A16">
        <v>2020</v>
      </c>
      <c r="B16" t="s">
        <v>25</v>
      </c>
      <c r="C16" t="s">
        <v>45</v>
      </c>
      <c r="D16" t="s">
        <v>18</v>
      </c>
      <c r="E16" t="s">
        <v>19</v>
      </c>
      <c r="F16" t="s">
        <v>20</v>
      </c>
      <c r="G16" s="3">
        <v>119078</v>
      </c>
      <c r="H16" s="3">
        <v>352240</v>
      </c>
      <c r="I16">
        <v>101</v>
      </c>
      <c r="J16" s="3">
        <v>0.97</v>
      </c>
      <c r="K16">
        <v>6.29</v>
      </c>
      <c r="L16">
        <v>1.2</v>
      </c>
      <c r="M16">
        <v>10</v>
      </c>
      <c r="N16">
        <v>307</v>
      </c>
      <c r="O16" s="3">
        <f t="shared" si="0"/>
        <v>36556946</v>
      </c>
      <c r="P16" s="3">
        <f t="shared" si="1"/>
        <v>36204706</v>
      </c>
    </row>
    <row r="17" spans="1:16">
      <c r="A17">
        <v>2019</v>
      </c>
      <c r="B17" t="s">
        <v>43</v>
      </c>
      <c r="C17" t="s">
        <v>46</v>
      </c>
      <c r="D17" t="s">
        <v>42</v>
      </c>
      <c r="E17" t="s">
        <v>19</v>
      </c>
      <c r="F17" t="s">
        <v>20</v>
      </c>
      <c r="G17" s="3">
        <v>77932</v>
      </c>
      <c r="H17" s="3">
        <v>365929</v>
      </c>
      <c r="I17">
        <v>190</v>
      </c>
      <c r="J17" s="3">
        <v>0.97</v>
      </c>
      <c r="K17">
        <v>6.29</v>
      </c>
      <c r="L17">
        <v>1.2</v>
      </c>
      <c r="M17">
        <v>6</v>
      </c>
      <c r="N17">
        <v>725</v>
      </c>
      <c r="O17" s="3">
        <f t="shared" si="0"/>
        <v>56500700</v>
      </c>
      <c r="P17" s="3">
        <f t="shared" si="1"/>
        <v>56134771</v>
      </c>
    </row>
    <row r="18" spans="1:16">
      <c r="A18">
        <v>2016</v>
      </c>
      <c r="B18" t="s">
        <v>47</v>
      </c>
      <c r="C18" t="s">
        <v>31</v>
      </c>
      <c r="D18" t="s">
        <v>41</v>
      </c>
      <c r="E18" t="s">
        <v>23</v>
      </c>
      <c r="F18" t="s">
        <v>28</v>
      </c>
      <c r="G18" s="3">
        <v>96269</v>
      </c>
      <c r="H18" s="3">
        <v>102344</v>
      </c>
      <c r="I18">
        <v>240</v>
      </c>
      <c r="J18" s="3">
        <v>0.97</v>
      </c>
      <c r="K18">
        <v>6.29</v>
      </c>
      <c r="L18">
        <v>1.2</v>
      </c>
      <c r="M18">
        <v>5</v>
      </c>
      <c r="N18">
        <v>588</v>
      </c>
      <c r="O18" s="3">
        <f t="shared" si="0"/>
        <v>56606172</v>
      </c>
      <c r="P18" s="3">
        <f t="shared" si="1"/>
        <v>56503828</v>
      </c>
    </row>
    <row r="19" spans="1:16">
      <c r="A19">
        <v>2022</v>
      </c>
      <c r="B19" t="s">
        <v>48</v>
      </c>
      <c r="C19" t="s">
        <v>26</v>
      </c>
      <c r="D19" t="s">
        <v>39</v>
      </c>
      <c r="E19" t="s">
        <v>23</v>
      </c>
      <c r="F19" t="s">
        <v>28</v>
      </c>
      <c r="G19" s="3">
        <v>110986</v>
      </c>
      <c r="H19" s="3">
        <v>296060</v>
      </c>
      <c r="I19">
        <v>310</v>
      </c>
      <c r="J19" s="3">
        <v>0.97</v>
      </c>
      <c r="K19">
        <v>6.29</v>
      </c>
      <c r="L19">
        <v>1.2</v>
      </c>
      <c r="M19">
        <v>8</v>
      </c>
      <c r="N19">
        <v>644</v>
      </c>
      <c r="O19" s="3">
        <f t="shared" si="0"/>
        <v>71474984</v>
      </c>
      <c r="P19" s="3">
        <f t="shared" si="1"/>
        <v>71178924</v>
      </c>
    </row>
    <row r="20" spans="1:16">
      <c r="A20">
        <v>2020</v>
      </c>
      <c r="B20" t="s">
        <v>49</v>
      </c>
      <c r="C20" t="s">
        <v>31</v>
      </c>
      <c r="D20" t="s">
        <v>42</v>
      </c>
      <c r="E20" t="s">
        <v>19</v>
      </c>
      <c r="F20" t="s">
        <v>28</v>
      </c>
      <c r="G20" s="3">
        <v>37035</v>
      </c>
      <c r="H20" s="3">
        <v>432526</v>
      </c>
      <c r="I20">
        <v>157</v>
      </c>
      <c r="J20" s="3">
        <v>0.97</v>
      </c>
      <c r="K20">
        <v>6.29</v>
      </c>
      <c r="L20">
        <v>1.2</v>
      </c>
      <c r="M20">
        <v>4</v>
      </c>
      <c r="N20">
        <v>534</v>
      </c>
      <c r="O20" s="3">
        <f t="shared" si="0"/>
        <v>19776690</v>
      </c>
      <c r="P20" s="3">
        <f t="shared" si="1"/>
        <v>19344164</v>
      </c>
    </row>
    <row r="21" spans="1:16">
      <c r="A21">
        <v>2016</v>
      </c>
      <c r="B21" t="s">
        <v>21</v>
      </c>
      <c r="C21" t="s">
        <v>31</v>
      </c>
      <c r="D21" t="s">
        <v>30</v>
      </c>
      <c r="E21" t="s">
        <v>23</v>
      </c>
      <c r="F21" t="s">
        <v>24</v>
      </c>
      <c r="G21" s="3">
        <v>75745</v>
      </c>
      <c r="H21" s="3">
        <v>249618</v>
      </c>
      <c r="I21">
        <v>289</v>
      </c>
      <c r="J21" s="3">
        <v>0.97</v>
      </c>
      <c r="K21">
        <v>6.29</v>
      </c>
      <c r="L21">
        <v>1.2</v>
      </c>
      <c r="M21">
        <v>4</v>
      </c>
      <c r="N21">
        <v>1004</v>
      </c>
      <c r="O21" s="3">
        <f t="shared" si="0"/>
        <v>76047980</v>
      </c>
      <c r="P21" s="3">
        <f t="shared" si="1"/>
        <v>75798362</v>
      </c>
    </row>
    <row r="22" spans="1:16">
      <c r="A22">
        <v>2019</v>
      </c>
      <c r="B22" t="s">
        <v>47</v>
      </c>
      <c r="C22" t="s">
        <v>31</v>
      </c>
      <c r="D22" t="s">
        <v>30</v>
      </c>
      <c r="E22" t="s">
        <v>23</v>
      </c>
      <c r="F22" t="s">
        <v>20</v>
      </c>
      <c r="G22" s="3">
        <v>52241</v>
      </c>
      <c r="H22" s="3">
        <v>209484</v>
      </c>
      <c r="I22">
        <v>198</v>
      </c>
      <c r="J22" s="3">
        <v>0.97</v>
      </c>
      <c r="K22">
        <v>6.29</v>
      </c>
      <c r="L22">
        <v>1.2</v>
      </c>
      <c r="M22">
        <v>5</v>
      </c>
      <c r="N22">
        <v>544</v>
      </c>
      <c r="O22" s="3">
        <f t="shared" si="0"/>
        <v>28419104</v>
      </c>
      <c r="P22" s="3">
        <f t="shared" si="1"/>
        <v>28209620</v>
      </c>
    </row>
    <row r="23" spans="1:16">
      <c r="A23">
        <v>2015</v>
      </c>
      <c r="B23" t="s">
        <v>48</v>
      </c>
      <c r="C23" t="s">
        <v>40</v>
      </c>
      <c r="D23" t="s">
        <v>18</v>
      </c>
      <c r="E23" t="s">
        <v>19</v>
      </c>
      <c r="F23" t="s">
        <v>20</v>
      </c>
      <c r="G23" s="3">
        <v>87975</v>
      </c>
      <c r="H23" s="3">
        <v>160489</v>
      </c>
      <c r="I23">
        <v>356</v>
      </c>
      <c r="J23" s="3">
        <v>0.97</v>
      </c>
      <c r="K23">
        <v>6.29</v>
      </c>
      <c r="L23">
        <v>1.2</v>
      </c>
      <c r="M23">
        <v>1</v>
      </c>
      <c r="N23">
        <v>751</v>
      </c>
      <c r="O23" s="3">
        <f t="shared" si="0"/>
        <v>66069225</v>
      </c>
      <c r="P23" s="3">
        <f t="shared" si="1"/>
        <v>65908736</v>
      </c>
    </row>
    <row r="24" spans="1:16">
      <c r="A24">
        <v>2024</v>
      </c>
      <c r="B24" t="s">
        <v>29</v>
      </c>
      <c r="C24" t="s">
        <v>31</v>
      </c>
      <c r="D24" t="s">
        <v>41</v>
      </c>
      <c r="E24" t="s">
        <v>23</v>
      </c>
      <c r="F24" t="s">
        <v>28</v>
      </c>
      <c r="G24" s="3">
        <v>58154</v>
      </c>
      <c r="H24" s="3">
        <v>494874</v>
      </c>
      <c r="I24">
        <v>359</v>
      </c>
      <c r="J24" s="3">
        <v>0.97</v>
      </c>
      <c r="K24">
        <v>6.29</v>
      </c>
      <c r="L24">
        <v>1.2</v>
      </c>
      <c r="M24">
        <v>1</v>
      </c>
      <c r="N24">
        <v>1061</v>
      </c>
      <c r="O24" s="3">
        <f t="shared" si="0"/>
        <v>61701394</v>
      </c>
      <c r="P24" s="3">
        <f t="shared" si="1"/>
        <v>61206520</v>
      </c>
    </row>
    <row r="25" spans="1:16">
      <c r="A25">
        <v>2020</v>
      </c>
      <c r="B25" t="s">
        <v>50</v>
      </c>
      <c r="C25" t="s">
        <v>34</v>
      </c>
      <c r="D25" t="s">
        <v>39</v>
      </c>
      <c r="E25" t="s">
        <v>23</v>
      </c>
      <c r="F25" t="s">
        <v>33</v>
      </c>
      <c r="G25" s="3">
        <v>60625</v>
      </c>
      <c r="H25" s="3">
        <v>492765</v>
      </c>
      <c r="I25">
        <v>323</v>
      </c>
      <c r="J25" s="3">
        <v>0.97</v>
      </c>
      <c r="K25">
        <v>6.29</v>
      </c>
      <c r="L25">
        <v>1.2</v>
      </c>
      <c r="M25">
        <v>2</v>
      </c>
      <c r="N25">
        <v>954</v>
      </c>
      <c r="O25" s="3">
        <f t="shared" si="0"/>
        <v>57836250</v>
      </c>
      <c r="P25" s="3">
        <f t="shared" si="1"/>
        <v>57343485</v>
      </c>
    </row>
    <row r="26" spans="1:16">
      <c r="A26">
        <v>2023</v>
      </c>
      <c r="B26" t="s">
        <v>16</v>
      </c>
      <c r="C26" t="s">
        <v>45</v>
      </c>
      <c r="D26" t="s">
        <v>27</v>
      </c>
      <c r="E26" t="s">
        <v>23</v>
      </c>
      <c r="F26" t="s">
        <v>28</v>
      </c>
      <c r="G26" s="3">
        <v>79950</v>
      </c>
      <c r="H26" s="3">
        <v>308667</v>
      </c>
      <c r="I26">
        <v>137</v>
      </c>
      <c r="J26" s="3">
        <v>0.97</v>
      </c>
      <c r="K26">
        <v>6.29</v>
      </c>
      <c r="L26">
        <v>1.2</v>
      </c>
      <c r="M26">
        <v>8</v>
      </c>
      <c r="N26">
        <v>673</v>
      </c>
      <c r="O26" s="3">
        <f t="shared" si="0"/>
        <v>53806350</v>
      </c>
      <c r="P26" s="3">
        <f t="shared" si="1"/>
        <v>53497683</v>
      </c>
    </row>
    <row r="27" spans="1:16">
      <c r="A27">
        <v>2015</v>
      </c>
      <c r="B27" t="s">
        <v>37</v>
      </c>
      <c r="C27" t="s">
        <v>46</v>
      </c>
      <c r="D27" t="s">
        <v>22</v>
      </c>
      <c r="E27" t="s">
        <v>23</v>
      </c>
      <c r="F27" t="s">
        <v>24</v>
      </c>
      <c r="G27" s="3">
        <v>91396</v>
      </c>
      <c r="H27" s="3">
        <v>61549</v>
      </c>
      <c r="I27">
        <v>16</v>
      </c>
      <c r="J27" s="3">
        <v>0.97</v>
      </c>
      <c r="K27">
        <v>6.29</v>
      </c>
      <c r="L27">
        <v>1.2</v>
      </c>
      <c r="M27">
        <v>7</v>
      </c>
      <c r="N27">
        <v>15</v>
      </c>
      <c r="O27" s="3">
        <f t="shared" si="0"/>
        <v>1370940</v>
      </c>
      <c r="P27" s="3">
        <f t="shared" si="1"/>
        <v>1309391</v>
      </c>
    </row>
    <row r="28" spans="1:16">
      <c r="A28">
        <v>2024</v>
      </c>
      <c r="B28" t="s">
        <v>37</v>
      </c>
      <c r="C28" t="s">
        <v>34</v>
      </c>
      <c r="D28" t="s">
        <v>39</v>
      </c>
      <c r="E28" t="s">
        <v>23</v>
      </c>
      <c r="F28" t="s">
        <v>28</v>
      </c>
      <c r="G28" s="3">
        <v>48331</v>
      </c>
      <c r="H28" s="3">
        <v>75739</v>
      </c>
      <c r="I28">
        <v>56</v>
      </c>
      <c r="J28" s="3">
        <v>0.97</v>
      </c>
      <c r="K28">
        <v>6.29</v>
      </c>
      <c r="L28">
        <v>1.2</v>
      </c>
      <c r="M28">
        <v>10</v>
      </c>
      <c r="N28">
        <v>107</v>
      </c>
      <c r="O28" s="3">
        <f t="shared" si="0"/>
        <v>5171417</v>
      </c>
      <c r="P28" s="3">
        <f t="shared" si="1"/>
        <v>5095678</v>
      </c>
    </row>
    <row r="29" spans="1:16">
      <c r="A29">
        <v>2017</v>
      </c>
      <c r="B29" t="s">
        <v>43</v>
      </c>
      <c r="C29" t="s">
        <v>46</v>
      </c>
      <c r="D29" t="s">
        <v>22</v>
      </c>
      <c r="E29" t="s">
        <v>23</v>
      </c>
      <c r="F29" t="s">
        <v>28</v>
      </c>
      <c r="G29" s="3">
        <v>98927</v>
      </c>
      <c r="H29" s="3">
        <v>333353</v>
      </c>
      <c r="I29">
        <v>62</v>
      </c>
      <c r="J29" s="3">
        <v>0.97</v>
      </c>
      <c r="K29">
        <v>6.29</v>
      </c>
      <c r="L29">
        <v>1.2</v>
      </c>
      <c r="M29">
        <v>9</v>
      </c>
      <c r="N29">
        <v>523</v>
      </c>
      <c r="O29" s="3">
        <f t="shared" si="0"/>
        <v>51738821</v>
      </c>
      <c r="P29" s="3">
        <f t="shared" si="1"/>
        <v>51405468</v>
      </c>
    </row>
    <row r="30" spans="1:16">
      <c r="A30">
        <v>2021</v>
      </c>
      <c r="B30" t="s">
        <v>35</v>
      </c>
      <c r="C30" t="s">
        <v>38</v>
      </c>
      <c r="D30" t="s">
        <v>36</v>
      </c>
      <c r="E30" t="s">
        <v>19</v>
      </c>
      <c r="F30" t="s">
        <v>24</v>
      </c>
      <c r="G30" s="3">
        <v>119719</v>
      </c>
      <c r="H30" s="3">
        <v>157051</v>
      </c>
      <c r="I30">
        <v>196</v>
      </c>
      <c r="J30" s="3">
        <v>0.97</v>
      </c>
      <c r="K30">
        <v>6.29</v>
      </c>
      <c r="L30">
        <v>1.2</v>
      </c>
      <c r="M30">
        <v>5</v>
      </c>
      <c r="N30">
        <v>782</v>
      </c>
      <c r="O30" s="3">
        <f t="shared" si="0"/>
        <v>93620258</v>
      </c>
      <c r="P30" s="3">
        <f t="shared" si="1"/>
        <v>93463207</v>
      </c>
    </row>
    <row r="31" spans="1:16">
      <c r="A31">
        <v>2018</v>
      </c>
      <c r="B31" t="s">
        <v>48</v>
      </c>
      <c r="C31" t="s">
        <v>46</v>
      </c>
      <c r="D31" t="s">
        <v>22</v>
      </c>
      <c r="E31" t="s">
        <v>23</v>
      </c>
      <c r="F31" t="s">
        <v>28</v>
      </c>
      <c r="G31" s="3">
        <v>98014</v>
      </c>
      <c r="H31" s="3">
        <v>65116</v>
      </c>
      <c r="I31">
        <v>47</v>
      </c>
      <c r="J31" s="3">
        <v>0.97</v>
      </c>
      <c r="K31">
        <v>6.29</v>
      </c>
      <c r="L31">
        <v>1.2</v>
      </c>
      <c r="M31">
        <v>2</v>
      </c>
      <c r="N31">
        <v>397</v>
      </c>
      <c r="O31" s="3">
        <f t="shared" si="0"/>
        <v>38911558</v>
      </c>
      <c r="P31" s="3">
        <f t="shared" si="1"/>
        <v>38846442</v>
      </c>
    </row>
    <row r="32" spans="1:16">
      <c r="A32">
        <v>2023</v>
      </c>
      <c r="B32" t="s">
        <v>50</v>
      </c>
      <c r="C32" t="s">
        <v>45</v>
      </c>
      <c r="D32" t="s">
        <v>32</v>
      </c>
      <c r="E32" t="s">
        <v>19</v>
      </c>
      <c r="F32" t="s">
        <v>20</v>
      </c>
      <c r="G32" s="3">
        <v>74346</v>
      </c>
      <c r="H32" s="3">
        <v>70045</v>
      </c>
      <c r="I32">
        <v>235</v>
      </c>
      <c r="J32" s="3">
        <v>0.97</v>
      </c>
      <c r="K32">
        <v>6.29</v>
      </c>
      <c r="L32">
        <v>1.2</v>
      </c>
      <c r="M32">
        <v>7</v>
      </c>
      <c r="N32">
        <v>773</v>
      </c>
      <c r="O32" s="3">
        <f t="shared" si="0"/>
        <v>57469458</v>
      </c>
      <c r="P32" s="3">
        <f t="shared" si="1"/>
        <v>57399413</v>
      </c>
    </row>
    <row r="33" spans="1:16">
      <c r="A33">
        <v>2017</v>
      </c>
      <c r="B33" t="s">
        <v>47</v>
      </c>
      <c r="C33" t="s">
        <v>45</v>
      </c>
      <c r="D33" t="s">
        <v>30</v>
      </c>
      <c r="E33" t="s">
        <v>23</v>
      </c>
      <c r="F33" t="s">
        <v>33</v>
      </c>
      <c r="G33" s="3">
        <v>105411</v>
      </c>
      <c r="H33" s="3">
        <v>469543</v>
      </c>
      <c r="I33">
        <v>62</v>
      </c>
      <c r="J33" s="3">
        <v>0.97</v>
      </c>
      <c r="K33">
        <v>6.29</v>
      </c>
      <c r="L33">
        <v>1.2</v>
      </c>
      <c r="M33">
        <v>8</v>
      </c>
      <c r="N33">
        <v>179</v>
      </c>
      <c r="O33" s="3">
        <f t="shared" si="0"/>
        <v>18868569</v>
      </c>
      <c r="P33" s="3">
        <f t="shared" si="1"/>
        <v>18399026</v>
      </c>
    </row>
    <row r="34" spans="1:16">
      <c r="A34">
        <v>2019</v>
      </c>
      <c r="B34" t="s">
        <v>16</v>
      </c>
      <c r="C34" t="s">
        <v>31</v>
      </c>
      <c r="D34" t="s">
        <v>41</v>
      </c>
      <c r="E34" t="s">
        <v>23</v>
      </c>
      <c r="F34" t="s">
        <v>28</v>
      </c>
      <c r="G34" s="3">
        <v>89478</v>
      </c>
      <c r="H34" s="3">
        <v>85709</v>
      </c>
      <c r="I34">
        <v>233</v>
      </c>
      <c r="J34" s="3">
        <v>0.97</v>
      </c>
      <c r="K34">
        <v>6.29</v>
      </c>
      <c r="L34">
        <v>1.2</v>
      </c>
      <c r="M34">
        <v>7</v>
      </c>
      <c r="N34">
        <v>652</v>
      </c>
      <c r="O34" s="3">
        <f t="shared" si="0"/>
        <v>58339656</v>
      </c>
      <c r="P34" s="3">
        <f t="shared" si="1"/>
        <v>58253947</v>
      </c>
    </row>
    <row r="35" spans="1:16">
      <c r="A35">
        <v>2017</v>
      </c>
      <c r="B35" t="s">
        <v>48</v>
      </c>
      <c r="C35" t="s">
        <v>51</v>
      </c>
      <c r="D35" t="s">
        <v>52</v>
      </c>
      <c r="E35" t="s">
        <v>19</v>
      </c>
      <c r="F35" t="s">
        <v>24</v>
      </c>
      <c r="G35" s="3">
        <v>47254</v>
      </c>
      <c r="H35" s="3">
        <v>355761</v>
      </c>
      <c r="I35">
        <v>163</v>
      </c>
      <c r="J35" s="3">
        <v>0.97</v>
      </c>
      <c r="K35">
        <v>6.29</v>
      </c>
      <c r="L35">
        <v>1.2</v>
      </c>
      <c r="M35">
        <v>7</v>
      </c>
      <c r="N35">
        <v>389</v>
      </c>
      <c r="O35" s="3">
        <f t="shared" si="0"/>
        <v>18381806</v>
      </c>
      <c r="P35" s="3">
        <f t="shared" si="1"/>
        <v>18026045</v>
      </c>
    </row>
    <row r="36" spans="1:16">
      <c r="A36">
        <v>2021</v>
      </c>
      <c r="B36" t="s">
        <v>50</v>
      </c>
      <c r="C36" t="s">
        <v>38</v>
      </c>
      <c r="D36" t="s">
        <v>18</v>
      </c>
      <c r="E36" t="s">
        <v>19</v>
      </c>
      <c r="F36" t="s">
        <v>33</v>
      </c>
      <c r="G36" s="3">
        <v>90734</v>
      </c>
      <c r="H36" s="3">
        <v>207977</v>
      </c>
      <c r="I36">
        <v>57</v>
      </c>
      <c r="J36" s="3">
        <v>0.97</v>
      </c>
      <c r="K36">
        <v>6.29</v>
      </c>
      <c r="L36">
        <v>1.2</v>
      </c>
      <c r="M36">
        <v>5</v>
      </c>
      <c r="N36">
        <v>213</v>
      </c>
      <c r="O36" s="3">
        <f t="shared" si="0"/>
        <v>19326342</v>
      </c>
      <c r="P36" s="3">
        <f t="shared" si="1"/>
        <v>19118365</v>
      </c>
    </row>
    <row r="37" spans="1:16">
      <c r="A37">
        <v>2019</v>
      </c>
      <c r="B37" t="s">
        <v>49</v>
      </c>
      <c r="C37" t="s">
        <v>26</v>
      </c>
      <c r="D37" t="s">
        <v>32</v>
      </c>
      <c r="E37" t="s">
        <v>19</v>
      </c>
      <c r="F37" t="s">
        <v>24</v>
      </c>
      <c r="G37" s="3">
        <v>63621</v>
      </c>
      <c r="H37" s="3">
        <v>253675</v>
      </c>
      <c r="I37">
        <v>360</v>
      </c>
      <c r="J37" s="3">
        <v>0.97</v>
      </c>
      <c r="K37">
        <v>6.29</v>
      </c>
      <c r="L37">
        <v>1.2</v>
      </c>
      <c r="M37">
        <v>2</v>
      </c>
      <c r="N37">
        <v>945</v>
      </c>
      <c r="O37" s="3">
        <f t="shared" si="0"/>
        <v>60121845</v>
      </c>
      <c r="P37" s="3">
        <f t="shared" si="1"/>
        <v>59868170</v>
      </c>
    </row>
    <row r="38" spans="1:16">
      <c r="A38">
        <v>2023</v>
      </c>
      <c r="B38" t="s">
        <v>21</v>
      </c>
      <c r="C38" t="s">
        <v>17</v>
      </c>
      <c r="D38" t="s">
        <v>22</v>
      </c>
      <c r="E38" t="s">
        <v>23</v>
      </c>
      <c r="F38" t="s">
        <v>33</v>
      </c>
      <c r="G38" s="3">
        <v>111441</v>
      </c>
      <c r="H38" s="3">
        <v>279167</v>
      </c>
      <c r="I38">
        <v>156</v>
      </c>
      <c r="J38" s="3">
        <v>0.97</v>
      </c>
      <c r="K38">
        <v>6.29</v>
      </c>
      <c r="L38">
        <v>1.2</v>
      </c>
      <c r="M38">
        <v>6</v>
      </c>
      <c r="N38">
        <v>705</v>
      </c>
      <c r="O38" s="3">
        <f t="shared" si="0"/>
        <v>78565905</v>
      </c>
      <c r="P38" s="3">
        <f t="shared" si="1"/>
        <v>78286738</v>
      </c>
    </row>
    <row r="39" spans="1:16">
      <c r="A39">
        <v>2021</v>
      </c>
      <c r="B39" t="s">
        <v>37</v>
      </c>
      <c r="C39" t="s">
        <v>46</v>
      </c>
      <c r="D39" t="s">
        <v>42</v>
      </c>
      <c r="E39" t="s">
        <v>19</v>
      </c>
      <c r="F39" t="s">
        <v>33</v>
      </c>
      <c r="G39" s="3">
        <v>81121</v>
      </c>
      <c r="H39" s="3">
        <v>431923</v>
      </c>
      <c r="I39">
        <v>73</v>
      </c>
      <c r="J39" s="3">
        <v>0.97</v>
      </c>
      <c r="K39">
        <v>6.29</v>
      </c>
      <c r="L39">
        <v>1.2</v>
      </c>
      <c r="M39">
        <v>4</v>
      </c>
      <c r="N39">
        <v>368</v>
      </c>
      <c r="O39" s="3">
        <f t="shared" si="0"/>
        <v>29852528</v>
      </c>
      <c r="P39" s="3">
        <f t="shared" si="1"/>
        <v>29420605</v>
      </c>
    </row>
    <row r="40" spans="1:16">
      <c r="A40">
        <v>2016</v>
      </c>
      <c r="B40" t="s">
        <v>47</v>
      </c>
      <c r="C40" t="s">
        <v>51</v>
      </c>
      <c r="D40" t="s">
        <v>41</v>
      </c>
      <c r="E40" t="s">
        <v>23</v>
      </c>
      <c r="F40" t="s">
        <v>28</v>
      </c>
      <c r="G40" s="3">
        <v>116418</v>
      </c>
      <c r="H40" s="3">
        <v>355063</v>
      </c>
      <c r="I40">
        <v>358</v>
      </c>
      <c r="J40" s="3">
        <v>0.97</v>
      </c>
      <c r="K40">
        <v>6.29</v>
      </c>
      <c r="L40">
        <v>1.2</v>
      </c>
      <c r="M40">
        <v>10</v>
      </c>
      <c r="N40">
        <v>743</v>
      </c>
      <c r="O40" s="3">
        <f t="shared" si="0"/>
        <v>86498574</v>
      </c>
      <c r="P40" s="3">
        <f t="shared" si="1"/>
        <v>86143511</v>
      </c>
    </row>
    <row r="41" spans="1:16">
      <c r="A41">
        <v>2018</v>
      </c>
      <c r="B41" t="s">
        <v>37</v>
      </c>
      <c r="C41" t="s">
        <v>31</v>
      </c>
      <c r="D41" t="s">
        <v>32</v>
      </c>
      <c r="E41" t="s">
        <v>19</v>
      </c>
      <c r="F41" t="s">
        <v>20</v>
      </c>
      <c r="G41" s="3">
        <v>95197</v>
      </c>
      <c r="H41" s="3">
        <v>395665</v>
      </c>
      <c r="I41">
        <v>191</v>
      </c>
      <c r="J41" s="3">
        <v>0.97</v>
      </c>
      <c r="K41">
        <v>6.29</v>
      </c>
      <c r="L41">
        <v>1.2</v>
      </c>
      <c r="M41">
        <v>2</v>
      </c>
      <c r="N41">
        <v>805</v>
      </c>
      <c r="O41" s="3">
        <f t="shared" si="0"/>
        <v>76633585</v>
      </c>
      <c r="P41" s="3">
        <f t="shared" si="1"/>
        <v>76237920</v>
      </c>
    </row>
    <row r="42" spans="1:16">
      <c r="A42">
        <v>2023</v>
      </c>
      <c r="B42" t="s">
        <v>47</v>
      </c>
      <c r="C42" t="s">
        <v>40</v>
      </c>
      <c r="D42" t="s">
        <v>18</v>
      </c>
      <c r="E42" t="s">
        <v>19</v>
      </c>
      <c r="F42" t="s">
        <v>28</v>
      </c>
      <c r="G42" s="3">
        <v>119577</v>
      </c>
      <c r="H42" s="3">
        <v>269222</v>
      </c>
      <c r="I42">
        <v>134</v>
      </c>
      <c r="J42" s="3">
        <v>0.97</v>
      </c>
      <c r="K42">
        <v>6.29</v>
      </c>
      <c r="L42">
        <v>1.2</v>
      </c>
      <c r="M42">
        <v>9</v>
      </c>
      <c r="N42">
        <v>380</v>
      </c>
      <c r="O42" s="3">
        <f t="shared" si="0"/>
        <v>45439260</v>
      </c>
      <c r="P42" s="3">
        <f t="shared" si="1"/>
        <v>45170038</v>
      </c>
    </row>
    <row r="43" spans="1:16">
      <c r="A43">
        <v>2016</v>
      </c>
      <c r="B43" t="s">
        <v>43</v>
      </c>
      <c r="C43" t="s">
        <v>26</v>
      </c>
      <c r="D43" t="s">
        <v>30</v>
      </c>
      <c r="E43" t="s">
        <v>23</v>
      </c>
      <c r="F43" t="s">
        <v>24</v>
      </c>
      <c r="G43" s="3">
        <v>77431</v>
      </c>
      <c r="H43" s="3">
        <v>239518</v>
      </c>
      <c r="I43">
        <v>188</v>
      </c>
      <c r="J43" s="3">
        <v>0.97</v>
      </c>
      <c r="K43">
        <v>6.29</v>
      </c>
      <c r="L43">
        <v>1.2</v>
      </c>
      <c r="M43">
        <v>7</v>
      </c>
      <c r="N43">
        <v>543</v>
      </c>
      <c r="O43" s="3">
        <f t="shared" si="0"/>
        <v>42045033</v>
      </c>
      <c r="P43" s="3">
        <f t="shared" si="1"/>
        <v>41805515</v>
      </c>
    </row>
    <row r="44" spans="1:16">
      <c r="A44">
        <v>2024</v>
      </c>
      <c r="B44" t="s">
        <v>35</v>
      </c>
      <c r="C44" t="s">
        <v>44</v>
      </c>
      <c r="D44" t="s">
        <v>41</v>
      </c>
      <c r="E44" t="s">
        <v>23</v>
      </c>
      <c r="F44" t="s">
        <v>24</v>
      </c>
      <c r="G44" s="3">
        <v>39837</v>
      </c>
      <c r="H44" s="3">
        <v>233500</v>
      </c>
      <c r="I44">
        <v>48</v>
      </c>
      <c r="J44" s="3">
        <v>0.97</v>
      </c>
      <c r="K44">
        <v>6.29</v>
      </c>
      <c r="L44">
        <v>1.2</v>
      </c>
      <c r="M44">
        <v>6</v>
      </c>
      <c r="N44">
        <v>429</v>
      </c>
      <c r="O44" s="3">
        <f t="shared" si="0"/>
        <v>17090073</v>
      </c>
      <c r="P44" s="3">
        <f t="shared" si="1"/>
        <v>16856573</v>
      </c>
    </row>
    <row r="45" spans="1:16">
      <c r="A45">
        <v>2023</v>
      </c>
      <c r="B45" t="s">
        <v>47</v>
      </c>
      <c r="C45" t="s">
        <v>51</v>
      </c>
      <c r="D45" t="s">
        <v>18</v>
      </c>
      <c r="E45" t="s">
        <v>19</v>
      </c>
      <c r="F45" t="s">
        <v>33</v>
      </c>
      <c r="G45" s="3">
        <v>118163</v>
      </c>
      <c r="H45" s="3">
        <v>491110</v>
      </c>
      <c r="I45">
        <v>269</v>
      </c>
      <c r="J45" s="3">
        <v>0.97</v>
      </c>
      <c r="K45">
        <v>6.29</v>
      </c>
      <c r="L45">
        <v>1.2</v>
      </c>
      <c r="M45">
        <v>5</v>
      </c>
      <c r="N45">
        <v>661</v>
      </c>
      <c r="O45" s="3">
        <f t="shared" si="0"/>
        <v>78105743</v>
      </c>
      <c r="P45" s="3">
        <f t="shared" si="1"/>
        <v>77614633</v>
      </c>
    </row>
    <row r="46" spans="1:16">
      <c r="A46">
        <v>2024</v>
      </c>
      <c r="B46" t="s">
        <v>37</v>
      </c>
      <c r="C46" t="s">
        <v>40</v>
      </c>
      <c r="D46" t="s">
        <v>36</v>
      </c>
      <c r="E46" t="s">
        <v>19</v>
      </c>
      <c r="F46" t="s">
        <v>33</v>
      </c>
      <c r="G46" s="3">
        <v>106232</v>
      </c>
      <c r="H46" s="3">
        <v>318591</v>
      </c>
      <c r="I46">
        <v>391</v>
      </c>
      <c r="J46" s="3">
        <v>0.97</v>
      </c>
      <c r="K46">
        <v>6.29</v>
      </c>
      <c r="L46">
        <v>1.2</v>
      </c>
      <c r="M46">
        <v>3</v>
      </c>
      <c r="N46">
        <v>1001</v>
      </c>
      <c r="O46" s="3">
        <f t="shared" si="0"/>
        <v>106338232</v>
      </c>
      <c r="P46" s="3">
        <f t="shared" si="1"/>
        <v>106019641</v>
      </c>
    </row>
    <row r="47" spans="1:16">
      <c r="A47">
        <v>2019</v>
      </c>
      <c r="B47" t="s">
        <v>43</v>
      </c>
      <c r="C47" t="s">
        <v>38</v>
      </c>
      <c r="D47" t="s">
        <v>36</v>
      </c>
      <c r="E47" t="s">
        <v>19</v>
      </c>
      <c r="F47" t="s">
        <v>20</v>
      </c>
      <c r="G47" s="3">
        <v>83994</v>
      </c>
      <c r="H47" s="3">
        <v>55499</v>
      </c>
      <c r="I47">
        <v>12</v>
      </c>
      <c r="J47" s="3">
        <v>0.97</v>
      </c>
      <c r="K47">
        <v>6.29</v>
      </c>
      <c r="L47">
        <v>1.2</v>
      </c>
      <c r="M47">
        <v>10</v>
      </c>
      <c r="N47">
        <v>413</v>
      </c>
      <c r="O47" s="3">
        <f t="shared" si="0"/>
        <v>34689522</v>
      </c>
      <c r="P47" s="3">
        <f t="shared" si="1"/>
        <v>34634023</v>
      </c>
    </row>
    <row r="48" spans="1:16">
      <c r="A48">
        <v>2016</v>
      </c>
      <c r="B48" t="s">
        <v>47</v>
      </c>
      <c r="C48" t="s">
        <v>31</v>
      </c>
      <c r="D48" t="s">
        <v>18</v>
      </c>
      <c r="E48" t="s">
        <v>19</v>
      </c>
      <c r="F48" t="s">
        <v>28</v>
      </c>
      <c r="G48" s="3">
        <v>114079</v>
      </c>
      <c r="H48" s="3">
        <v>89041</v>
      </c>
      <c r="I48">
        <v>73</v>
      </c>
      <c r="J48" s="3">
        <v>0.97</v>
      </c>
      <c r="K48">
        <v>6.29</v>
      </c>
      <c r="L48">
        <v>1.2</v>
      </c>
      <c r="M48">
        <v>10</v>
      </c>
      <c r="N48">
        <v>396</v>
      </c>
      <c r="O48" s="3">
        <f t="shared" si="0"/>
        <v>45175284</v>
      </c>
      <c r="P48" s="3">
        <f t="shared" si="1"/>
        <v>45086243</v>
      </c>
    </row>
    <row r="49" spans="1:16">
      <c r="A49">
        <v>2018</v>
      </c>
      <c r="B49" t="s">
        <v>49</v>
      </c>
      <c r="C49" t="s">
        <v>26</v>
      </c>
      <c r="D49" t="s">
        <v>32</v>
      </c>
      <c r="E49" t="s">
        <v>19</v>
      </c>
      <c r="F49" t="s">
        <v>24</v>
      </c>
      <c r="G49" s="3">
        <v>47615</v>
      </c>
      <c r="H49" s="3">
        <v>343459</v>
      </c>
      <c r="I49">
        <v>38</v>
      </c>
      <c r="J49" s="3">
        <v>0.97</v>
      </c>
      <c r="K49">
        <v>6.29</v>
      </c>
      <c r="L49">
        <v>1.2</v>
      </c>
      <c r="M49">
        <v>4</v>
      </c>
      <c r="N49">
        <v>225</v>
      </c>
      <c r="O49" s="3">
        <f t="shared" si="0"/>
        <v>10713375</v>
      </c>
      <c r="P49" s="3">
        <f t="shared" si="1"/>
        <v>10369916</v>
      </c>
    </row>
    <row r="50" spans="1:16">
      <c r="A50">
        <v>2021</v>
      </c>
      <c r="B50" t="s">
        <v>35</v>
      </c>
      <c r="C50" t="s">
        <v>26</v>
      </c>
      <c r="D50" t="s">
        <v>41</v>
      </c>
      <c r="E50" t="s">
        <v>23</v>
      </c>
      <c r="F50" t="s">
        <v>33</v>
      </c>
      <c r="G50" s="3">
        <v>36466</v>
      </c>
      <c r="H50" s="3">
        <v>182371</v>
      </c>
      <c r="I50">
        <v>381</v>
      </c>
      <c r="J50" s="3">
        <v>0.97</v>
      </c>
      <c r="K50">
        <v>6.29</v>
      </c>
      <c r="L50">
        <v>1.2</v>
      </c>
      <c r="M50">
        <v>3</v>
      </c>
      <c r="N50">
        <v>992</v>
      </c>
      <c r="O50" s="3">
        <f t="shared" si="0"/>
        <v>36174272</v>
      </c>
      <c r="P50" s="3">
        <f t="shared" si="1"/>
        <v>35991901</v>
      </c>
    </row>
    <row r="51" spans="1:16">
      <c r="A51">
        <v>2022</v>
      </c>
      <c r="B51" t="s">
        <v>47</v>
      </c>
      <c r="C51" t="s">
        <v>26</v>
      </c>
      <c r="D51" t="s">
        <v>32</v>
      </c>
      <c r="E51" t="s">
        <v>19</v>
      </c>
      <c r="F51" t="s">
        <v>20</v>
      </c>
      <c r="G51" s="3">
        <v>65771</v>
      </c>
      <c r="H51" s="3">
        <v>432650</v>
      </c>
      <c r="I51">
        <v>20</v>
      </c>
      <c r="J51" s="3">
        <v>0.97</v>
      </c>
      <c r="K51">
        <v>6.29</v>
      </c>
      <c r="L51">
        <v>1.2</v>
      </c>
      <c r="M51">
        <v>8</v>
      </c>
      <c r="N51">
        <v>476</v>
      </c>
      <c r="O51" s="3">
        <f t="shared" si="0"/>
        <v>31306996</v>
      </c>
      <c r="P51" s="3">
        <f t="shared" si="1"/>
        <v>30874346</v>
      </c>
    </row>
    <row r="52" spans="1:16">
      <c r="A52">
        <v>2017</v>
      </c>
      <c r="B52" t="s">
        <v>43</v>
      </c>
      <c r="C52" t="s">
        <v>38</v>
      </c>
      <c r="D52" t="s">
        <v>27</v>
      </c>
      <c r="E52" t="s">
        <v>23</v>
      </c>
      <c r="F52" t="s">
        <v>24</v>
      </c>
      <c r="G52" s="3">
        <v>118886</v>
      </c>
      <c r="H52" s="3">
        <v>186066</v>
      </c>
      <c r="I52">
        <v>106</v>
      </c>
      <c r="J52" s="3">
        <v>0.97</v>
      </c>
      <c r="K52">
        <v>6.29</v>
      </c>
      <c r="L52">
        <v>1.2</v>
      </c>
      <c r="M52">
        <v>3</v>
      </c>
      <c r="N52">
        <v>357</v>
      </c>
      <c r="O52" s="3">
        <f t="shared" si="0"/>
        <v>42442302</v>
      </c>
      <c r="P52" s="3">
        <f t="shared" si="1"/>
        <v>42256236</v>
      </c>
    </row>
    <row r="53" spans="1:16">
      <c r="A53">
        <v>2015</v>
      </c>
      <c r="B53" t="s">
        <v>29</v>
      </c>
      <c r="C53" t="s">
        <v>46</v>
      </c>
      <c r="D53" t="s">
        <v>22</v>
      </c>
      <c r="E53" t="s">
        <v>23</v>
      </c>
      <c r="F53" t="s">
        <v>33</v>
      </c>
      <c r="G53" s="3">
        <v>100911</v>
      </c>
      <c r="H53" s="3">
        <v>276486</v>
      </c>
      <c r="I53">
        <v>367</v>
      </c>
      <c r="J53" s="3">
        <v>0.97</v>
      </c>
      <c r="K53">
        <v>6.29</v>
      </c>
      <c r="L53">
        <v>1.2</v>
      </c>
      <c r="M53">
        <v>7</v>
      </c>
      <c r="N53">
        <v>1145</v>
      </c>
      <c r="O53" s="3">
        <f t="shared" si="0"/>
        <v>115543095</v>
      </c>
      <c r="P53" s="3">
        <f t="shared" si="1"/>
        <v>115266609</v>
      </c>
    </row>
    <row r="54" spans="1:16">
      <c r="A54">
        <v>2018</v>
      </c>
      <c r="B54" t="s">
        <v>48</v>
      </c>
      <c r="C54" t="s">
        <v>44</v>
      </c>
      <c r="D54" t="s">
        <v>27</v>
      </c>
      <c r="E54" t="s">
        <v>23</v>
      </c>
      <c r="F54" t="s">
        <v>24</v>
      </c>
      <c r="G54" s="3">
        <v>55746</v>
      </c>
      <c r="H54" s="3">
        <v>262235</v>
      </c>
      <c r="I54">
        <v>212</v>
      </c>
      <c r="J54" s="3">
        <v>0.97</v>
      </c>
      <c r="K54">
        <v>6.29</v>
      </c>
      <c r="L54">
        <v>1.2</v>
      </c>
      <c r="M54">
        <v>7</v>
      </c>
      <c r="N54">
        <v>679</v>
      </c>
      <c r="O54" s="3">
        <f t="shared" si="0"/>
        <v>37851534</v>
      </c>
      <c r="P54" s="3">
        <f t="shared" si="1"/>
        <v>37589299</v>
      </c>
    </row>
    <row r="55" spans="1:16">
      <c r="A55">
        <v>2016</v>
      </c>
      <c r="B55" t="s">
        <v>53</v>
      </c>
      <c r="C55" t="s">
        <v>38</v>
      </c>
      <c r="D55" t="s">
        <v>36</v>
      </c>
      <c r="E55" t="s">
        <v>19</v>
      </c>
      <c r="F55" t="s">
        <v>20</v>
      </c>
      <c r="G55" s="3">
        <v>95739</v>
      </c>
      <c r="H55" s="3">
        <v>307831</v>
      </c>
      <c r="I55">
        <v>30</v>
      </c>
      <c r="J55" s="3">
        <v>0.97</v>
      </c>
      <c r="K55">
        <v>6.29</v>
      </c>
      <c r="L55">
        <v>1.2</v>
      </c>
      <c r="M55">
        <v>7</v>
      </c>
      <c r="N55">
        <v>184</v>
      </c>
      <c r="O55" s="3">
        <f t="shared" si="0"/>
        <v>17615976</v>
      </c>
      <c r="P55" s="3">
        <f t="shared" si="1"/>
        <v>17308145</v>
      </c>
    </row>
    <row r="56" spans="1:16">
      <c r="A56">
        <v>2022</v>
      </c>
      <c r="B56" t="s">
        <v>50</v>
      </c>
      <c r="C56" t="s">
        <v>17</v>
      </c>
      <c r="D56" t="s">
        <v>30</v>
      </c>
      <c r="E56" t="s">
        <v>23</v>
      </c>
      <c r="F56" t="s">
        <v>20</v>
      </c>
      <c r="G56" s="3">
        <v>108369</v>
      </c>
      <c r="H56" s="3">
        <v>450705</v>
      </c>
      <c r="I56">
        <v>48</v>
      </c>
      <c r="J56" s="3">
        <v>0.97</v>
      </c>
      <c r="K56">
        <v>6.29</v>
      </c>
      <c r="L56">
        <v>1.2</v>
      </c>
      <c r="M56">
        <v>7</v>
      </c>
      <c r="N56">
        <v>205</v>
      </c>
      <c r="O56" s="3">
        <f t="shared" si="0"/>
        <v>22215645</v>
      </c>
      <c r="P56" s="3">
        <f t="shared" si="1"/>
        <v>21764940</v>
      </c>
    </row>
    <row r="57" spans="1:16">
      <c r="A57">
        <v>2018</v>
      </c>
      <c r="B57" t="s">
        <v>53</v>
      </c>
      <c r="C57" t="s">
        <v>44</v>
      </c>
      <c r="D57" t="s">
        <v>39</v>
      </c>
      <c r="E57" t="s">
        <v>23</v>
      </c>
      <c r="F57" t="s">
        <v>24</v>
      </c>
      <c r="G57" s="3">
        <v>36893</v>
      </c>
      <c r="H57" s="3">
        <v>403791</v>
      </c>
      <c r="I57">
        <v>232</v>
      </c>
      <c r="J57" s="3">
        <v>0.97</v>
      </c>
      <c r="K57">
        <v>6.29</v>
      </c>
      <c r="L57">
        <v>1.2</v>
      </c>
      <c r="M57">
        <v>2</v>
      </c>
      <c r="N57">
        <v>534</v>
      </c>
      <c r="O57" s="3">
        <f t="shared" si="0"/>
        <v>19700862</v>
      </c>
      <c r="P57" s="3">
        <f t="shared" si="1"/>
        <v>19297071</v>
      </c>
    </row>
    <row r="58" spans="1:16">
      <c r="A58">
        <v>2016</v>
      </c>
      <c r="B58" t="s">
        <v>29</v>
      </c>
      <c r="C58" t="s">
        <v>45</v>
      </c>
      <c r="D58" t="s">
        <v>22</v>
      </c>
      <c r="E58" t="s">
        <v>23</v>
      </c>
      <c r="F58" t="s">
        <v>28</v>
      </c>
      <c r="G58" s="3">
        <v>65573</v>
      </c>
      <c r="H58" s="3">
        <v>344499</v>
      </c>
      <c r="I58">
        <v>111</v>
      </c>
      <c r="J58" s="3">
        <v>0.97</v>
      </c>
      <c r="K58">
        <v>6.29</v>
      </c>
      <c r="L58">
        <v>1.2</v>
      </c>
      <c r="M58">
        <v>10</v>
      </c>
      <c r="N58">
        <v>578</v>
      </c>
      <c r="O58" s="3">
        <f t="shared" si="0"/>
        <v>37901194</v>
      </c>
      <c r="P58" s="3">
        <f t="shared" si="1"/>
        <v>37556695</v>
      </c>
    </row>
    <row r="59" spans="1:16">
      <c r="A59">
        <v>2020</v>
      </c>
      <c r="B59" t="s">
        <v>53</v>
      </c>
      <c r="C59" t="s">
        <v>31</v>
      </c>
      <c r="D59" t="s">
        <v>36</v>
      </c>
      <c r="E59" t="s">
        <v>19</v>
      </c>
      <c r="F59" t="s">
        <v>24</v>
      </c>
      <c r="G59" s="3">
        <v>75874</v>
      </c>
      <c r="H59" s="3">
        <v>385949</v>
      </c>
      <c r="I59">
        <v>55</v>
      </c>
      <c r="J59" s="3">
        <v>0.97</v>
      </c>
      <c r="K59">
        <v>6.29</v>
      </c>
      <c r="L59">
        <v>1.2</v>
      </c>
      <c r="M59">
        <v>3</v>
      </c>
      <c r="N59">
        <v>292</v>
      </c>
      <c r="O59" s="3">
        <f t="shared" si="0"/>
        <v>22155208</v>
      </c>
      <c r="P59" s="3">
        <f t="shared" si="1"/>
        <v>21769259</v>
      </c>
    </row>
    <row r="60" spans="1:16">
      <c r="A60">
        <v>2020</v>
      </c>
      <c r="B60" t="s">
        <v>29</v>
      </c>
      <c r="C60" t="s">
        <v>38</v>
      </c>
      <c r="D60" t="s">
        <v>32</v>
      </c>
      <c r="E60" t="s">
        <v>19</v>
      </c>
      <c r="F60" t="s">
        <v>33</v>
      </c>
      <c r="G60" s="3">
        <v>112362</v>
      </c>
      <c r="H60" s="3">
        <v>380511</v>
      </c>
      <c r="I60">
        <v>75</v>
      </c>
      <c r="J60" s="3">
        <v>0.97</v>
      </c>
      <c r="K60">
        <v>6.29</v>
      </c>
      <c r="L60">
        <v>1.2</v>
      </c>
      <c r="M60">
        <v>10</v>
      </c>
      <c r="N60">
        <v>495</v>
      </c>
      <c r="O60" s="3">
        <f t="shared" si="0"/>
        <v>55619190</v>
      </c>
      <c r="P60" s="3">
        <f t="shared" si="1"/>
        <v>55238679</v>
      </c>
    </row>
    <row r="61" spans="1:16">
      <c r="A61">
        <v>2024</v>
      </c>
      <c r="B61" t="s">
        <v>16</v>
      </c>
      <c r="C61" t="s">
        <v>40</v>
      </c>
      <c r="D61" t="s">
        <v>32</v>
      </c>
      <c r="E61" t="s">
        <v>19</v>
      </c>
      <c r="F61" t="s">
        <v>28</v>
      </c>
      <c r="G61" s="3">
        <v>68367</v>
      </c>
      <c r="H61" s="3">
        <v>422050</v>
      </c>
      <c r="I61">
        <v>100</v>
      </c>
      <c r="J61" s="3">
        <v>0.97</v>
      </c>
      <c r="K61">
        <v>6.29</v>
      </c>
      <c r="L61">
        <v>1.2</v>
      </c>
      <c r="M61">
        <v>9</v>
      </c>
      <c r="N61">
        <v>576</v>
      </c>
      <c r="O61" s="3">
        <f t="shared" si="0"/>
        <v>39379392</v>
      </c>
      <c r="P61" s="3">
        <f t="shared" si="1"/>
        <v>38957342</v>
      </c>
    </row>
    <row r="62" spans="1:16">
      <c r="A62">
        <v>2018</v>
      </c>
      <c r="B62" t="s">
        <v>29</v>
      </c>
      <c r="C62" t="s">
        <v>44</v>
      </c>
      <c r="D62" t="s">
        <v>32</v>
      </c>
      <c r="E62" t="s">
        <v>19</v>
      </c>
      <c r="F62" t="s">
        <v>33</v>
      </c>
      <c r="G62" s="3">
        <v>56199</v>
      </c>
      <c r="H62" s="3">
        <v>429553</v>
      </c>
      <c r="I62">
        <v>173</v>
      </c>
      <c r="J62" s="3">
        <v>0.97</v>
      </c>
      <c r="K62">
        <v>6.29</v>
      </c>
      <c r="L62">
        <v>1.2</v>
      </c>
      <c r="M62">
        <v>3</v>
      </c>
      <c r="N62">
        <v>534</v>
      </c>
      <c r="O62" s="3">
        <f t="shared" si="0"/>
        <v>30010266</v>
      </c>
      <c r="P62" s="3">
        <f t="shared" si="1"/>
        <v>29580713</v>
      </c>
    </row>
    <row r="63" spans="1:16">
      <c r="A63">
        <v>2020</v>
      </c>
      <c r="B63" t="s">
        <v>29</v>
      </c>
      <c r="C63" t="s">
        <v>17</v>
      </c>
      <c r="D63" t="s">
        <v>30</v>
      </c>
      <c r="E63" t="s">
        <v>23</v>
      </c>
      <c r="F63" t="s">
        <v>24</v>
      </c>
      <c r="G63" s="3">
        <v>109328</v>
      </c>
      <c r="H63" s="3">
        <v>389499</v>
      </c>
      <c r="I63">
        <v>120</v>
      </c>
      <c r="J63" s="3">
        <v>0.97</v>
      </c>
      <c r="K63">
        <v>6.29</v>
      </c>
      <c r="L63">
        <v>1.2</v>
      </c>
      <c r="M63">
        <v>2</v>
      </c>
      <c r="N63">
        <v>453</v>
      </c>
      <c r="O63" s="3">
        <f t="shared" si="0"/>
        <v>49525584</v>
      </c>
      <c r="P63" s="3">
        <f t="shared" si="1"/>
        <v>49136085</v>
      </c>
    </row>
    <row r="64" spans="1:16">
      <c r="A64">
        <v>2016</v>
      </c>
      <c r="B64" t="s">
        <v>25</v>
      </c>
      <c r="C64" t="s">
        <v>45</v>
      </c>
      <c r="D64" t="s">
        <v>27</v>
      </c>
      <c r="E64" t="s">
        <v>23</v>
      </c>
      <c r="F64" t="s">
        <v>28</v>
      </c>
      <c r="G64" s="3">
        <v>92724</v>
      </c>
      <c r="H64" s="3">
        <v>166220</v>
      </c>
      <c r="I64">
        <v>347</v>
      </c>
      <c r="J64" s="3">
        <v>0.97</v>
      </c>
      <c r="K64">
        <v>6.29</v>
      </c>
      <c r="L64">
        <v>1.2</v>
      </c>
      <c r="M64">
        <v>9</v>
      </c>
      <c r="N64">
        <v>1070</v>
      </c>
      <c r="O64" s="3">
        <f t="shared" si="0"/>
        <v>99214680</v>
      </c>
      <c r="P64" s="3">
        <f t="shared" si="1"/>
        <v>99048460</v>
      </c>
    </row>
    <row r="65" spans="1:16">
      <c r="A65">
        <v>2024</v>
      </c>
      <c r="B65" t="s">
        <v>29</v>
      </c>
      <c r="C65" t="s">
        <v>46</v>
      </c>
      <c r="D65" t="s">
        <v>39</v>
      </c>
      <c r="E65" t="s">
        <v>23</v>
      </c>
      <c r="F65" t="s">
        <v>33</v>
      </c>
      <c r="G65" s="3">
        <v>71405</v>
      </c>
      <c r="H65" s="3">
        <v>271421</v>
      </c>
      <c r="I65">
        <v>132</v>
      </c>
      <c r="J65" s="3">
        <v>0.97</v>
      </c>
      <c r="K65">
        <v>6.29</v>
      </c>
      <c r="L65">
        <v>1.2</v>
      </c>
      <c r="M65">
        <v>10</v>
      </c>
      <c r="N65">
        <v>348</v>
      </c>
      <c r="O65" s="3">
        <f t="shared" si="0"/>
        <v>24848940</v>
      </c>
      <c r="P65" s="3">
        <f t="shared" si="1"/>
        <v>24577519</v>
      </c>
    </row>
    <row r="66" spans="1:16">
      <c r="A66">
        <v>2016</v>
      </c>
      <c r="B66" t="s">
        <v>49</v>
      </c>
      <c r="C66" t="s">
        <v>40</v>
      </c>
      <c r="D66" t="s">
        <v>32</v>
      </c>
      <c r="E66" t="s">
        <v>19</v>
      </c>
      <c r="F66" t="s">
        <v>24</v>
      </c>
      <c r="G66" s="3">
        <v>50989</v>
      </c>
      <c r="H66" s="3">
        <v>399317</v>
      </c>
      <c r="I66">
        <v>202</v>
      </c>
      <c r="J66" s="3">
        <v>0.97</v>
      </c>
      <c r="K66">
        <v>6.29</v>
      </c>
      <c r="L66">
        <v>1.2</v>
      </c>
      <c r="M66">
        <v>9</v>
      </c>
      <c r="N66">
        <v>651</v>
      </c>
      <c r="O66" s="3">
        <f t="shared" si="0"/>
        <v>33193839</v>
      </c>
      <c r="P66" s="3">
        <f t="shared" si="1"/>
        <v>32794522</v>
      </c>
    </row>
    <row r="67" spans="1:16">
      <c r="A67">
        <v>2024</v>
      </c>
      <c r="B67" t="s">
        <v>48</v>
      </c>
      <c r="C67" t="s">
        <v>44</v>
      </c>
      <c r="D67" t="s">
        <v>52</v>
      </c>
      <c r="E67" t="s">
        <v>19</v>
      </c>
      <c r="F67" t="s">
        <v>24</v>
      </c>
      <c r="G67" s="3">
        <v>63931</v>
      </c>
      <c r="H67" s="3">
        <v>314140</v>
      </c>
      <c r="I67">
        <v>108</v>
      </c>
      <c r="J67" s="3">
        <v>0.97</v>
      </c>
      <c r="K67">
        <v>6.29</v>
      </c>
      <c r="L67">
        <v>1.2</v>
      </c>
      <c r="M67">
        <v>4</v>
      </c>
      <c r="N67">
        <v>307</v>
      </c>
      <c r="O67" s="3">
        <f t="shared" ref="O67:O130" si="2">N67*G67</f>
        <v>19626817</v>
      </c>
      <c r="P67" s="3">
        <f t="shared" ref="P67:P130" si="3">O67-H67</f>
        <v>19312677</v>
      </c>
    </row>
    <row r="68" spans="1:16">
      <c r="A68">
        <v>2018</v>
      </c>
      <c r="B68" t="s">
        <v>21</v>
      </c>
      <c r="C68" t="s">
        <v>31</v>
      </c>
      <c r="D68" t="s">
        <v>22</v>
      </c>
      <c r="E68" t="s">
        <v>23</v>
      </c>
      <c r="F68" t="s">
        <v>28</v>
      </c>
      <c r="G68" s="3">
        <v>44290</v>
      </c>
      <c r="H68" s="3">
        <v>301071</v>
      </c>
      <c r="I68">
        <v>300</v>
      </c>
      <c r="J68" s="3">
        <v>0.97</v>
      </c>
      <c r="K68">
        <v>6.29</v>
      </c>
      <c r="L68">
        <v>1.2</v>
      </c>
      <c r="M68">
        <v>9</v>
      </c>
      <c r="N68">
        <v>951</v>
      </c>
      <c r="O68" s="3">
        <f t="shared" si="2"/>
        <v>42119790</v>
      </c>
      <c r="P68" s="3">
        <f t="shared" si="3"/>
        <v>41818719</v>
      </c>
    </row>
    <row r="69" spans="1:16">
      <c r="A69">
        <v>2022</v>
      </c>
      <c r="B69" t="s">
        <v>47</v>
      </c>
      <c r="C69" t="s">
        <v>40</v>
      </c>
      <c r="D69" t="s">
        <v>41</v>
      </c>
      <c r="E69" t="s">
        <v>23</v>
      </c>
      <c r="F69" t="s">
        <v>24</v>
      </c>
      <c r="G69" s="3">
        <v>73367</v>
      </c>
      <c r="H69" s="3">
        <v>356531</v>
      </c>
      <c r="I69">
        <v>168</v>
      </c>
      <c r="J69" s="3">
        <v>0.97</v>
      </c>
      <c r="K69">
        <v>6.29</v>
      </c>
      <c r="L69">
        <v>1.2</v>
      </c>
      <c r="M69">
        <v>3</v>
      </c>
      <c r="N69">
        <v>393</v>
      </c>
      <c r="O69" s="3">
        <f t="shared" si="2"/>
        <v>28833231</v>
      </c>
      <c r="P69" s="3">
        <f t="shared" si="3"/>
        <v>28476700</v>
      </c>
    </row>
    <row r="70" spans="1:16">
      <c r="A70">
        <v>2021</v>
      </c>
      <c r="B70" t="s">
        <v>50</v>
      </c>
      <c r="C70" t="s">
        <v>45</v>
      </c>
      <c r="D70" t="s">
        <v>52</v>
      </c>
      <c r="E70" t="s">
        <v>19</v>
      </c>
      <c r="F70" t="s">
        <v>20</v>
      </c>
      <c r="G70" s="3">
        <v>114878</v>
      </c>
      <c r="H70" s="3">
        <v>53089</v>
      </c>
      <c r="I70">
        <v>112</v>
      </c>
      <c r="J70" s="3">
        <v>0.97</v>
      </c>
      <c r="K70">
        <v>6.29</v>
      </c>
      <c r="L70">
        <v>1.2</v>
      </c>
      <c r="M70">
        <v>7</v>
      </c>
      <c r="N70">
        <v>453</v>
      </c>
      <c r="O70" s="3">
        <f t="shared" si="2"/>
        <v>52039734</v>
      </c>
      <c r="P70" s="3">
        <f t="shared" si="3"/>
        <v>51986645</v>
      </c>
    </row>
    <row r="71" spans="1:16">
      <c r="A71">
        <v>2023</v>
      </c>
      <c r="B71" t="s">
        <v>35</v>
      </c>
      <c r="C71" t="s">
        <v>40</v>
      </c>
      <c r="D71" t="s">
        <v>39</v>
      </c>
      <c r="E71" t="s">
        <v>23</v>
      </c>
      <c r="F71" t="s">
        <v>33</v>
      </c>
      <c r="G71" s="3">
        <v>114481</v>
      </c>
      <c r="H71" s="3">
        <v>410971</v>
      </c>
      <c r="I71">
        <v>394</v>
      </c>
      <c r="J71" s="3">
        <v>0.97</v>
      </c>
      <c r="K71">
        <v>6.29</v>
      </c>
      <c r="L71">
        <v>1.2</v>
      </c>
      <c r="M71">
        <v>7</v>
      </c>
      <c r="N71">
        <v>1190</v>
      </c>
      <c r="O71" s="3">
        <f t="shared" si="2"/>
        <v>136232390</v>
      </c>
      <c r="P71" s="3">
        <f t="shared" si="3"/>
        <v>135821419</v>
      </c>
    </row>
    <row r="72" spans="1:16">
      <c r="A72">
        <v>2022</v>
      </c>
      <c r="B72" t="s">
        <v>48</v>
      </c>
      <c r="C72" t="s">
        <v>34</v>
      </c>
      <c r="D72" t="s">
        <v>30</v>
      </c>
      <c r="E72" t="s">
        <v>23</v>
      </c>
      <c r="F72" t="s">
        <v>33</v>
      </c>
      <c r="G72" s="3">
        <v>111298</v>
      </c>
      <c r="H72" s="3">
        <v>332803</v>
      </c>
      <c r="I72">
        <v>290</v>
      </c>
      <c r="J72" s="3">
        <v>0.97</v>
      </c>
      <c r="K72">
        <v>6.29</v>
      </c>
      <c r="L72">
        <v>1.2</v>
      </c>
      <c r="M72">
        <v>8</v>
      </c>
      <c r="N72">
        <v>847</v>
      </c>
      <c r="O72" s="3">
        <f t="shared" si="2"/>
        <v>94269406</v>
      </c>
      <c r="P72" s="3">
        <f t="shared" si="3"/>
        <v>93936603</v>
      </c>
    </row>
    <row r="73" spans="1:16">
      <c r="A73">
        <v>2019</v>
      </c>
      <c r="B73" t="s">
        <v>37</v>
      </c>
      <c r="C73" t="s">
        <v>51</v>
      </c>
      <c r="D73" t="s">
        <v>39</v>
      </c>
      <c r="E73" t="s">
        <v>23</v>
      </c>
      <c r="F73" t="s">
        <v>24</v>
      </c>
      <c r="G73" s="3">
        <v>65133</v>
      </c>
      <c r="H73" s="3">
        <v>357322</v>
      </c>
      <c r="I73">
        <v>52</v>
      </c>
      <c r="J73" s="3">
        <v>0.97</v>
      </c>
      <c r="K73">
        <v>6.29</v>
      </c>
      <c r="L73">
        <v>1.2</v>
      </c>
      <c r="M73">
        <v>10</v>
      </c>
      <c r="N73">
        <v>117</v>
      </c>
      <c r="O73" s="3">
        <f t="shared" si="2"/>
        <v>7620561</v>
      </c>
      <c r="P73" s="3">
        <f t="shared" si="3"/>
        <v>7263239</v>
      </c>
    </row>
    <row r="74" spans="1:16">
      <c r="A74">
        <v>2016</v>
      </c>
      <c r="B74" t="s">
        <v>21</v>
      </c>
      <c r="C74" t="s">
        <v>46</v>
      </c>
      <c r="D74" t="s">
        <v>41</v>
      </c>
      <c r="E74" t="s">
        <v>23</v>
      </c>
      <c r="F74" t="s">
        <v>24</v>
      </c>
      <c r="G74" s="3">
        <v>62052</v>
      </c>
      <c r="H74" s="3">
        <v>145965</v>
      </c>
      <c r="I74">
        <v>93</v>
      </c>
      <c r="J74" s="3">
        <v>0.97</v>
      </c>
      <c r="K74">
        <v>6.29</v>
      </c>
      <c r="L74">
        <v>1.2</v>
      </c>
      <c r="M74">
        <v>4</v>
      </c>
      <c r="N74">
        <v>518</v>
      </c>
      <c r="O74" s="3">
        <f t="shared" si="2"/>
        <v>32142936</v>
      </c>
      <c r="P74" s="3">
        <f t="shared" si="3"/>
        <v>31996971</v>
      </c>
    </row>
    <row r="75" spans="1:16">
      <c r="A75">
        <v>2019</v>
      </c>
      <c r="B75" t="s">
        <v>16</v>
      </c>
      <c r="C75" t="s">
        <v>45</v>
      </c>
      <c r="D75" t="s">
        <v>22</v>
      </c>
      <c r="E75" t="s">
        <v>23</v>
      </c>
      <c r="F75" t="s">
        <v>20</v>
      </c>
      <c r="G75" s="3">
        <v>75475</v>
      </c>
      <c r="H75" s="3">
        <v>131268</v>
      </c>
      <c r="I75">
        <v>200</v>
      </c>
      <c r="J75" s="3">
        <v>0.97</v>
      </c>
      <c r="K75">
        <v>6.29</v>
      </c>
      <c r="L75">
        <v>1.2</v>
      </c>
      <c r="M75">
        <v>3</v>
      </c>
      <c r="N75">
        <v>610</v>
      </c>
      <c r="O75" s="3">
        <f t="shared" si="2"/>
        <v>46039750</v>
      </c>
      <c r="P75" s="3">
        <f t="shared" si="3"/>
        <v>45908482</v>
      </c>
    </row>
    <row r="76" spans="1:16">
      <c r="A76">
        <v>2022</v>
      </c>
      <c r="B76" t="s">
        <v>16</v>
      </c>
      <c r="C76" t="s">
        <v>40</v>
      </c>
      <c r="D76" t="s">
        <v>41</v>
      </c>
      <c r="E76" t="s">
        <v>23</v>
      </c>
      <c r="F76" t="s">
        <v>28</v>
      </c>
      <c r="G76" s="3">
        <v>117666</v>
      </c>
      <c r="H76" s="3">
        <v>397186</v>
      </c>
      <c r="I76">
        <v>60</v>
      </c>
      <c r="J76" s="3">
        <v>0.97</v>
      </c>
      <c r="K76">
        <v>6.29</v>
      </c>
      <c r="L76">
        <v>1.2</v>
      </c>
      <c r="M76">
        <v>3</v>
      </c>
      <c r="N76">
        <v>260</v>
      </c>
      <c r="O76" s="3">
        <f t="shared" si="2"/>
        <v>30593160</v>
      </c>
      <c r="P76" s="3">
        <f t="shared" si="3"/>
        <v>30195974</v>
      </c>
    </row>
    <row r="77" spans="1:16">
      <c r="A77">
        <v>2024</v>
      </c>
      <c r="B77" t="s">
        <v>29</v>
      </c>
      <c r="C77" t="s">
        <v>51</v>
      </c>
      <c r="D77" t="s">
        <v>18</v>
      </c>
      <c r="E77" t="s">
        <v>19</v>
      </c>
      <c r="F77" t="s">
        <v>24</v>
      </c>
      <c r="G77" s="3">
        <v>92656</v>
      </c>
      <c r="H77" s="3">
        <v>418615</v>
      </c>
      <c r="I77">
        <v>395</v>
      </c>
      <c r="J77" s="3">
        <v>0.97</v>
      </c>
      <c r="K77">
        <v>6.29</v>
      </c>
      <c r="L77">
        <v>1.2</v>
      </c>
      <c r="M77">
        <v>5</v>
      </c>
      <c r="N77">
        <v>1115</v>
      </c>
      <c r="O77" s="3">
        <f t="shared" si="2"/>
        <v>103311440</v>
      </c>
      <c r="P77" s="3">
        <f t="shared" si="3"/>
        <v>102892825</v>
      </c>
    </row>
    <row r="78" spans="1:16">
      <c r="A78">
        <v>2023</v>
      </c>
      <c r="B78" t="s">
        <v>48</v>
      </c>
      <c r="C78" t="s">
        <v>51</v>
      </c>
      <c r="D78" t="s">
        <v>22</v>
      </c>
      <c r="E78" t="s">
        <v>23</v>
      </c>
      <c r="F78" t="s">
        <v>24</v>
      </c>
      <c r="G78" s="3">
        <v>39633</v>
      </c>
      <c r="H78" s="3">
        <v>251798</v>
      </c>
      <c r="I78">
        <v>219</v>
      </c>
      <c r="J78" s="3">
        <v>0.97</v>
      </c>
      <c r="K78">
        <v>6.29</v>
      </c>
      <c r="L78">
        <v>1.2</v>
      </c>
      <c r="M78">
        <v>1</v>
      </c>
      <c r="N78">
        <v>677</v>
      </c>
      <c r="O78" s="3">
        <f t="shared" si="2"/>
        <v>26831541</v>
      </c>
      <c r="P78" s="3">
        <f t="shared" si="3"/>
        <v>26579743</v>
      </c>
    </row>
    <row r="79" spans="1:16">
      <c r="A79">
        <v>2023</v>
      </c>
      <c r="B79" t="s">
        <v>43</v>
      </c>
      <c r="C79" t="s">
        <v>40</v>
      </c>
      <c r="D79" t="s">
        <v>39</v>
      </c>
      <c r="E79" t="s">
        <v>23</v>
      </c>
      <c r="F79" t="s">
        <v>24</v>
      </c>
      <c r="G79" s="3">
        <v>52304</v>
      </c>
      <c r="H79" s="3">
        <v>382255</v>
      </c>
      <c r="I79">
        <v>135</v>
      </c>
      <c r="J79" s="3">
        <v>0.97</v>
      </c>
      <c r="K79">
        <v>6.29</v>
      </c>
      <c r="L79">
        <v>1.2</v>
      </c>
      <c r="M79">
        <v>10</v>
      </c>
      <c r="N79">
        <v>370</v>
      </c>
      <c r="O79" s="3">
        <f t="shared" si="2"/>
        <v>19352480</v>
      </c>
      <c r="P79" s="3">
        <f t="shared" si="3"/>
        <v>18970225</v>
      </c>
    </row>
    <row r="80" spans="1:16">
      <c r="A80">
        <v>2015</v>
      </c>
      <c r="B80" t="s">
        <v>25</v>
      </c>
      <c r="C80" t="s">
        <v>31</v>
      </c>
      <c r="D80" t="s">
        <v>32</v>
      </c>
      <c r="E80" t="s">
        <v>19</v>
      </c>
      <c r="F80" t="s">
        <v>24</v>
      </c>
      <c r="G80" s="3">
        <v>81546</v>
      </c>
      <c r="H80" s="3">
        <v>287103</v>
      </c>
      <c r="I80">
        <v>78</v>
      </c>
      <c r="J80" s="3">
        <v>0.97</v>
      </c>
      <c r="K80">
        <v>6.29</v>
      </c>
      <c r="L80">
        <v>1.2</v>
      </c>
      <c r="M80">
        <v>3</v>
      </c>
      <c r="N80">
        <v>532</v>
      </c>
      <c r="O80" s="3">
        <f t="shared" si="2"/>
        <v>43382472</v>
      </c>
      <c r="P80" s="3">
        <f t="shared" si="3"/>
        <v>43095369</v>
      </c>
    </row>
    <row r="81" spans="1:16">
      <c r="A81">
        <v>2023</v>
      </c>
      <c r="B81" t="s">
        <v>53</v>
      </c>
      <c r="C81" t="s">
        <v>34</v>
      </c>
      <c r="D81" t="s">
        <v>39</v>
      </c>
      <c r="E81" t="s">
        <v>23</v>
      </c>
      <c r="F81" t="s">
        <v>33</v>
      </c>
      <c r="G81" s="3">
        <v>42008</v>
      </c>
      <c r="H81" s="3">
        <v>294754</v>
      </c>
      <c r="I81">
        <v>274</v>
      </c>
      <c r="J81" s="3">
        <v>0.97</v>
      </c>
      <c r="K81">
        <v>6.29</v>
      </c>
      <c r="L81">
        <v>1.2</v>
      </c>
      <c r="M81">
        <v>6</v>
      </c>
      <c r="N81">
        <v>691</v>
      </c>
      <c r="O81" s="3">
        <f t="shared" si="2"/>
        <v>29027528</v>
      </c>
      <c r="P81" s="3">
        <f t="shared" si="3"/>
        <v>28732774</v>
      </c>
    </row>
    <row r="82" spans="1:16">
      <c r="A82">
        <v>2021</v>
      </c>
      <c r="B82" t="s">
        <v>37</v>
      </c>
      <c r="C82" t="s">
        <v>38</v>
      </c>
      <c r="D82" t="s">
        <v>39</v>
      </c>
      <c r="E82" t="s">
        <v>23</v>
      </c>
      <c r="F82" t="s">
        <v>24</v>
      </c>
      <c r="G82" s="3">
        <v>83291</v>
      </c>
      <c r="H82" s="3">
        <v>215637</v>
      </c>
      <c r="I82">
        <v>267</v>
      </c>
      <c r="J82" s="3">
        <v>0.97</v>
      </c>
      <c r="K82">
        <v>6.29</v>
      </c>
      <c r="L82">
        <v>1.2</v>
      </c>
      <c r="M82">
        <v>3</v>
      </c>
      <c r="N82">
        <v>899</v>
      </c>
      <c r="O82" s="3">
        <f t="shared" si="2"/>
        <v>74878609</v>
      </c>
      <c r="P82" s="3">
        <f t="shared" si="3"/>
        <v>74662972</v>
      </c>
    </row>
    <row r="83" spans="1:16">
      <c r="A83">
        <v>2023</v>
      </c>
      <c r="B83" t="s">
        <v>16</v>
      </c>
      <c r="C83" t="s">
        <v>34</v>
      </c>
      <c r="D83" t="s">
        <v>22</v>
      </c>
      <c r="E83" t="s">
        <v>23</v>
      </c>
      <c r="F83" t="s">
        <v>33</v>
      </c>
      <c r="G83" s="3">
        <v>62405</v>
      </c>
      <c r="H83" s="3">
        <v>412579</v>
      </c>
      <c r="I83">
        <v>197</v>
      </c>
      <c r="J83" s="3">
        <v>0.97</v>
      </c>
      <c r="K83">
        <v>6.29</v>
      </c>
      <c r="L83">
        <v>1.2</v>
      </c>
      <c r="M83">
        <v>5</v>
      </c>
      <c r="N83">
        <v>605</v>
      </c>
      <c r="O83" s="3">
        <f t="shared" si="2"/>
        <v>37755025</v>
      </c>
      <c r="P83" s="3">
        <f t="shared" si="3"/>
        <v>37342446</v>
      </c>
    </row>
    <row r="84" spans="1:16">
      <c r="A84">
        <v>2022</v>
      </c>
      <c r="B84" t="s">
        <v>50</v>
      </c>
      <c r="C84" t="s">
        <v>40</v>
      </c>
      <c r="D84" t="s">
        <v>18</v>
      </c>
      <c r="E84" t="s">
        <v>19</v>
      </c>
      <c r="F84" t="s">
        <v>24</v>
      </c>
      <c r="G84" s="3">
        <v>71386</v>
      </c>
      <c r="H84" s="3">
        <v>139242</v>
      </c>
      <c r="I84">
        <v>239</v>
      </c>
      <c r="J84" s="3">
        <v>0.97</v>
      </c>
      <c r="K84">
        <v>6.29</v>
      </c>
      <c r="L84">
        <v>1.2</v>
      </c>
      <c r="M84">
        <v>9</v>
      </c>
      <c r="N84">
        <v>474</v>
      </c>
      <c r="O84" s="3">
        <f t="shared" si="2"/>
        <v>33836964</v>
      </c>
      <c r="P84" s="3">
        <f t="shared" si="3"/>
        <v>33697722</v>
      </c>
    </row>
    <row r="85" spans="1:16">
      <c r="A85">
        <v>2015</v>
      </c>
      <c r="B85" t="s">
        <v>16</v>
      </c>
      <c r="C85" t="s">
        <v>46</v>
      </c>
      <c r="D85" t="s">
        <v>39</v>
      </c>
      <c r="E85" t="s">
        <v>23</v>
      </c>
      <c r="F85" t="s">
        <v>28</v>
      </c>
      <c r="G85" s="3">
        <v>55827</v>
      </c>
      <c r="H85" s="3">
        <v>425348</v>
      </c>
      <c r="I85">
        <v>198</v>
      </c>
      <c r="J85" s="3">
        <v>0.97</v>
      </c>
      <c r="K85">
        <v>6.29</v>
      </c>
      <c r="L85">
        <v>1.2</v>
      </c>
      <c r="M85">
        <v>2</v>
      </c>
      <c r="N85">
        <v>706</v>
      </c>
      <c r="O85" s="3">
        <f t="shared" si="2"/>
        <v>39413862</v>
      </c>
      <c r="P85" s="3">
        <f t="shared" si="3"/>
        <v>38988514</v>
      </c>
    </row>
    <row r="86" spans="1:16">
      <c r="A86">
        <v>2022</v>
      </c>
      <c r="B86" t="s">
        <v>35</v>
      </c>
      <c r="C86" t="s">
        <v>38</v>
      </c>
      <c r="D86" t="s">
        <v>52</v>
      </c>
      <c r="E86" t="s">
        <v>19</v>
      </c>
      <c r="F86" t="s">
        <v>20</v>
      </c>
      <c r="G86" s="3">
        <v>68040</v>
      </c>
      <c r="H86" s="3">
        <v>203956</v>
      </c>
      <c r="I86">
        <v>19</v>
      </c>
      <c r="J86" s="3">
        <v>0.97</v>
      </c>
      <c r="K86">
        <v>6.29</v>
      </c>
      <c r="L86">
        <v>1.2</v>
      </c>
      <c r="M86">
        <v>2</v>
      </c>
      <c r="N86">
        <v>272</v>
      </c>
      <c r="O86" s="3">
        <f t="shared" si="2"/>
        <v>18506880</v>
      </c>
      <c r="P86" s="3">
        <f t="shared" si="3"/>
        <v>18302924</v>
      </c>
    </row>
    <row r="87" spans="1:16">
      <c r="A87">
        <v>2022</v>
      </c>
      <c r="B87" t="s">
        <v>47</v>
      </c>
      <c r="C87" t="s">
        <v>45</v>
      </c>
      <c r="D87" t="s">
        <v>36</v>
      </c>
      <c r="E87" t="s">
        <v>19</v>
      </c>
      <c r="F87" t="s">
        <v>28</v>
      </c>
      <c r="G87" s="3">
        <v>95354</v>
      </c>
      <c r="H87" s="3">
        <v>329343</v>
      </c>
      <c r="I87">
        <v>123</v>
      </c>
      <c r="J87" s="3">
        <v>0.97</v>
      </c>
      <c r="K87">
        <v>6.29</v>
      </c>
      <c r="L87">
        <v>1.2</v>
      </c>
      <c r="M87">
        <v>6</v>
      </c>
      <c r="N87">
        <v>531</v>
      </c>
      <c r="O87" s="3">
        <f t="shared" si="2"/>
        <v>50632974</v>
      </c>
      <c r="P87" s="3">
        <f t="shared" si="3"/>
        <v>50303631</v>
      </c>
    </row>
    <row r="88" spans="1:16">
      <c r="A88">
        <v>2017</v>
      </c>
      <c r="B88" t="s">
        <v>16</v>
      </c>
      <c r="C88" t="s">
        <v>34</v>
      </c>
      <c r="D88" t="s">
        <v>42</v>
      </c>
      <c r="E88" t="s">
        <v>19</v>
      </c>
      <c r="F88" t="s">
        <v>24</v>
      </c>
      <c r="G88" s="3">
        <v>113543</v>
      </c>
      <c r="H88" s="3">
        <v>110038</v>
      </c>
      <c r="I88">
        <v>85</v>
      </c>
      <c r="J88" s="3">
        <v>0.97</v>
      </c>
      <c r="K88">
        <v>6.29</v>
      </c>
      <c r="L88">
        <v>1.2</v>
      </c>
      <c r="M88">
        <v>6</v>
      </c>
      <c r="N88">
        <v>586</v>
      </c>
      <c r="O88" s="3">
        <f t="shared" si="2"/>
        <v>66536198</v>
      </c>
      <c r="P88" s="3">
        <f t="shared" si="3"/>
        <v>66426160</v>
      </c>
    </row>
    <row r="89" spans="1:16">
      <c r="A89">
        <v>2015</v>
      </c>
      <c r="B89" t="s">
        <v>35</v>
      </c>
      <c r="C89" t="s">
        <v>40</v>
      </c>
      <c r="D89" t="s">
        <v>42</v>
      </c>
      <c r="E89" t="s">
        <v>19</v>
      </c>
      <c r="F89" t="s">
        <v>24</v>
      </c>
      <c r="G89" s="3">
        <v>53157</v>
      </c>
      <c r="H89" s="3">
        <v>107786</v>
      </c>
      <c r="I89">
        <v>173</v>
      </c>
      <c r="J89" s="3">
        <v>0.97</v>
      </c>
      <c r="K89">
        <v>6.29</v>
      </c>
      <c r="L89">
        <v>1.2</v>
      </c>
      <c r="M89">
        <v>8</v>
      </c>
      <c r="N89">
        <v>667</v>
      </c>
      <c r="O89" s="3">
        <f t="shared" si="2"/>
        <v>35455719</v>
      </c>
      <c r="P89" s="3">
        <f t="shared" si="3"/>
        <v>35347933</v>
      </c>
    </row>
    <row r="90" spans="1:16">
      <c r="A90">
        <v>2022</v>
      </c>
      <c r="B90" t="s">
        <v>48</v>
      </c>
      <c r="C90" t="s">
        <v>34</v>
      </c>
      <c r="D90" t="s">
        <v>39</v>
      </c>
      <c r="E90" t="s">
        <v>23</v>
      </c>
      <c r="F90" t="s">
        <v>24</v>
      </c>
      <c r="G90" s="3">
        <v>70315</v>
      </c>
      <c r="H90" s="3">
        <v>421780</v>
      </c>
      <c r="I90">
        <v>94</v>
      </c>
      <c r="J90" s="3">
        <v>0.97</v>
      </c>
      <c r="K90">
        <v>6.29</v>
      </c>
      <c r="L90">
        <v>1.2</v>
      </c>
      <c r="M90">
        <v>2</v>
      </c>
      <c r="N90">
        <v>559</v>
      </c>
      <c r="O90" s="3">
        <f t="shared" si="2"/>
        <v>39306085</v>
      </c>
      <c r="P90" s="3">
        <f t="shared" si="3"/>
        <v>38884305</v>
      </c>
    </row>
    <row r="91" spans="1:16">
      <c r="A91">
        <v>2017</v>
      </c>
      <c r="B91" t="s">
        <v>48</v>
      </c>
      <c r="C91" t="s">
        <v>38</v>
      </c>
      <c r="D91" t="s">
        <v>52</v>
      </c>
      <c r="E91" t="s">
        <v>19</v>
      </c>
      <c r="F91" t="s">
        <v>28</v>
      </c>
      <c r="G91" s="3">
        <v>70932</v>
      </c>
      <c r="H91" s="3">
        <v>286042</v>
      </c>
      <c r="I91">
        <v>58</v>
      </c>
      <c r="J91" s="3">
        <v>0.97</v>
      </c>
      <c r="K91">
        <v>6.29</v>
      </c>
      <c r="L91">
        <v>1.2</v>
      </c>
      <c r="M91">
        <v>9</v>
      </c>
      <c r="N91">
        <v>502</v>
      </c>
      <c r="O91" s="3">
        <f t="shared" si="2"/>
        <v>35607864</v>
      </c>
      <c r="P91" s="3">
        <f t="shared" si="3"/>
        <v>35321822</v>
      </c>
    </row>
    <row r="92" spans="1:16">
      <c r="A92">
        <v>2017</v>
      </c>
      <c r="B92" t="s">
        <v>25</v>
      </c>
      <c r="C92" t="s">
        <v>17</v>
      </c>
      <c r="D92" t="s">
        <v>32</v>
      </c>
      <c r="E92" t="s">
        <v>19</v>
      </c>
      <c r="F92" t="s">
        <v>24</v>
      </c>
      <c r="G92" s="3">
        <v>56164</v>
      </c>
      <c r="H92" s="3">
        <v>361438</v>
      </c>
      <c r="I92">
        <v>335</v>
      </c>
      <c r="J92" s="3">
        <v>0.97</v>
      </c>
      <c r="K92">
        <v>6.29</v>
      </c>
      <c r="L92">
        <v>1.2</v>
      </c>
      <c r="M92">
        <v>2</v>
      </c>
      <c r="N92">
        <v>822</v>
      </c>
      <c r="O92" s="3">
        <f t="shared" si="2"/>
        <v>46166808</v>
      </c>
      <c r="P92" s="3">
        <f t="shared" si="3"/>
        <v>45805370</v>
      </c>
    </row>
    <row r="93" spans="1:16">
      <c r="A93">
        <v>2015</v>
      </c>
      <c r="B93" t="s">
        <v>21</v>
      </c>
      <c r="C93" t="s">
        <v>44</v>
      </c>
      <c r="D93" t="s">
        <v>30</v>
      </c>
      <c r="E93" t="s">
        <v>23</v>
      </c>
      <c r="F93" t="s">
        <v>28</v>
      </c>
      <c r="G93" s="3">
        <v>49414</v>
      </c>
      <c r="H93" s="3">
        <v>259087</v>
      </c>
      <c r="I93">
        <v>186</v>
      </c>
      <c r="J93" s="3">
        <v>0.97</v>
      </c>
      <c r="K93">
        <v>6.29</v>
      </c>
      <c r="L93">
        <v>1.2</v>
      </c>
      <c r="M93">
        <v>1</v>
      </c>
      <c r="N93">
        <v>564</v>
      </c>
      <c r="O93" s="3">
        <f t="shared" si="2"/>
        <v>27869496</v>
      </c>
      <c r="P93" s="3">
        <f t="shared" si="3"/>
        <v>27610409</v>
      </c>
    </row>
    <row r="94" spans="1:16">
      <c r="A94">
        <v>2019</v>
      </c>
      <c r="B94" t="s">
        <v>16</v>
      </c>
      <c r="C94" t="s">
        <v>34</v>
      </c>
      <c r="D94" t="s">
        <v>30</v>
      </c>
      <c r="E94" t="s">
        <v>23</v>
      </c>
      <c r="F94" t="s">
        <v>33</v>
      </c>
      <c r="G94" s="3">
        <v>49327</v>
      </c>
      <c r="H94" s="3">
        <v>215250</v>
      </c>
      <c r="I94">
        <v>396</v>
      </c>
      <c r="J94" s="3">
        <v>0.97</v>
      </c>
      <c r="K94">
        <v>6.29</v>
      </c>
      <c r="L94">
        <v>1.2</v>
      </c>
      <c r="M94">
        <v>10</v>
      </c>
      <c r="N94">
        <v>1066</v>
      </c>
      <c r="O94" s="3">
        <f t="shared" si="2"/>
        <v>52582582</v>
      </c>
      <c r="P94" s="3">
        <f t="shared" si="3"/>
        <v>52367332</v>
      </c>
    </row>
    <row r="95" spans="1:16">
      <c r="A95">
        <v>2024</v>
      </c>
      <c r="B95" t="s">
        <v>50</v>
      </c>
      <c r="C95" t="s">
        <v>45</v>
      </c>
      <c r="D95" t="s">
        <v>22</v>
      </c>
      <c r="E95" t="s">
        <v>23</v>
      </c>
      <c r="F95" t="s">
        <v>20</v>
      </c>
      <c r="G95" s="3">
        <v>35946</v>
      </c>
      <c r="H95" s="3">
        <v>455881</v>
      </c>
      <c r="I95">
        <v>398</v>
      </c>
      <c r="J95" s="3">
        <v>0.97</v>
      </c>
      <c r="K95">
        <v>6.29</v>
      </c>
      <c r="L95">
        <v>1.2</v>
      </c>
      <c r="M95">
        <v>2</v>
      </c>
      <c r="N95">
        <v>871</v>
      </c>
      <c r="O95" s="3">
        <f t="shared" si="2"/>
        <v>31308966</v>
      </c>
      <c r="P95" s="3">
        <f t="shared" si="3"/>
        <v>30853085</v>
      </c>
    </row>
    <row r="96" spans="1:16">
      <c r="A96">
        <v>2021</v>
      </c>
      <c r="B96" t="s">
        <v>16</v>
      </c>
      <c r="C96" t="s">
        <v>45</v>
      </c>
      <c r="D96" t="s">
        <v>42</v>
      </c>
      <c r="E96" t="s">
        <v>19</v>
      </c>
      <c r="F96" t="s">
        <v>20</v>
      </c>
      <c r="G96" s="3">
        <v>49693</v>
      </c>
      <c r="H96" s="3">
        <v>312678</v>
      </c>
      <c r="I96">
        <v>227</v>
      </c>
      <c r="J96" s="3">
        <v>0.97</v>
      </c>
      <c r="K96">
        <v>6.29</v>
      </c>
      <c r="L96">
        <v>1.2</v>
      </c>
      <c r="M96">
        <v>7</v>
      </c>
      <c r="N96">
        <v>592</v>
      </c>
      <c r="O96" s="3">
        <f t="shared" si="2"/>
        <v>29418256</v>
      </c>
      <c r="P96" s="3">
        <f t="shared" si="3"/>
        <v>29105578</v>
      </c>
    </row>
    <row r="97" spans="1:16">
      <c r="A97">
        <v>2024</v>
      </c>
      <c r="B97" t="s">
        <v>50</v>
      </c>
      <c r="C97" t="s">
        <v>26</v>
      </c>
      <c r="D97" t="s">
        <v>39</v>
      </c>
      <c r="E97" t="s">
        <v>23</v>
      </c>
      <c r="F97" t="s">
        <v>28</v>
      </c>
      <c r="G97" s="3">
        <v>62241</v>
      </c>
      <c r="H97" s="3">
        <v>403972</v>
      </c>
      <c r="I97">
        <v>198</v>
      </c>
      <c r="J97" s="3">
        <v>0.97</v>
      </c>
      <c r="K97">
        <v>6.29</v>
      </c>
      <c r="L97">
        <v>1.2</v>
      </c>
      <c r="M97">
        <v>8</v>
      </c>
      <c r="N97">
        <v>508</v>
      </c>
      <c r="O97" s="3">
        <f t="shared" si="2"/>
        <v>31618428</v>
      </c>
      <c r="P97" s="3">
        <f t="shared" si="3"/>
        <v>31214456</v>
      </c>
    </row>
    <row r="98" spans="1:16">
      <c r="A98">
        <v>2023</v>
      </c>
      <c r="B98" t="s">
        <v>49</v>
      </c>
      <c r="C98" t="s">
        <v>34</v>
      </c>
      <c r="D98" t="s">
        <v>30</v>
      </c>
      <c r="E98" t="s">
        <v>23</v>
      </c>
      <c r="F98" t="s">
        <v>33</v>
      </c>
      <c r="G98" s="3">
        <v>50540</v>
      </c>
      <c r="H98" s="3">
        <v>348276</v>
      </c>
      <c r="I98">
        <v>355</v>
      </c>
      <c r="J98" s="3">
        <v>0.97</v>
      </c>
      <c r="K98">
        <v>6.29</v>
      </c>
      <c r="L98">
        <v>1.2</v>
      </c>
      <c r="M98">
        <v>5</v>
      </c>
      <c r="N98">
        <v>1177</v>
      </c>
      <c r="O98" s="3">
        <f t="shared" si="2"/>
        <v>59485580</v>
      </c>
      <c r="P98" s="3">
        <f t="shared" si="3"/>
        <v>59137304</v>
      </c>
    </row>
    <row r="99" spans="1:16">
      <c r="A99">
        <v>2021</v>
      </c>
      <c r="B99" t="s">
        <v>29</v>
      </c>
      <c r="C99" t="s">
        <v>44</v>
      </c>
      <c r="D99" t="s">
        <v>39</v>
      </c>
      <c r="E99" t="s">
        <v>23</v>
      </c>
      <c r="F99" t="s">
        <v>28</v>
      </c>
      <c r="G99" s="3">
        <v>107255</v>
      </c>
      <c r="H99" s="3">
        <v>427864</v>
      </c>
      <c r="I99">
        <v>239</v>
      </c>
      <c r="J99" s="3">
        <v>0.97</v>
      </c>
      <c r="K99">
        <v>6.29</v>
      </c>
      <c r="L99">
        <v>1.2</v>
      </c>
      <c r="M99">
        <v>6</v>
      </c>
      <c r="N99">
        <v>630</v>
      </c>
      <c r="O99" s="3">
        <f t="shared" si="2"/>
        <v>67570650</v>
      </c>
      <c r="P99" s="3">
        <f t="shared" si="3"/>
        <v>67142786</v>
      </c>
    </row>
    <row r="100" spans="1:16">
      <c r="A100">
        <v>2023</v>
      </c>
      <c r="B100" t="s">
        <v>21</v>
      </c>
      <c r="C100" t="s">
        <v>31</v>
      </c>
      <c r="D100" t="s">
        <v>22</v>
      </c>
      <c r="E100" t="s">
        <v>23</v>
      </c>
      <c r="F100" t="s">
        <v>33</v>
      </c>
      <c r="G100" s="3">
        <v>99757</v>
      </c>
      <c r="H100" s="3">
        <v>348254</v>
      </c>
      <c r="I100">
        <v>264</v>
      </c>
      <c r="J100" s="3">
        <v>0.97</v>
      </c>
      <c r="K100">
        <v>6.29</v>
      </c>
      <c r="L100">
        <v>1.2</v>
      </c>
      <c r="M100">
        <v>1</v>
      </c>
      <c r="N100">
        <v>845</v>
      </c>
      <c r="O100" s="3">
        <f t="shared" si="2"/>
        <v>84294665</v>
      </c>
      <c r="P100" s="3">
        <f t="shared" si="3"/>
        <v>83946411</v>
      </c>
    </row>
    <row r="101" spans="1:16">
      <c r="A101">
        <v>2022</v>
      </c>
      <c r="B101" t="s">
        <v>49</v>
      </c>
      <c r="C101" t="s">
        <v>51</v>
      </c>
      <c r="D101" t="s">
        <v>42</v>
      </c>
      <c r="E101" t="s">
        <v>19</v>
      </c>
      <c r="F101" t="s">
        <v>24</v>
      </c>
      <c r="G101" s="3">
        <v>76203</v>
      </c>
      <c r="H101" s="3">
        <v>239826</v>
      </c>
      <c r="I101">
        <v>245</v>
      </c>
      <c r="J101" s="3">
        <v>0.97</v>
      </c>
      <c r="K101">
        <v>6.29</v>
      </c>
      <c r="L101">
        <v>1.2</v>
      </c>
      <c r="M101">
        <v>6</v>
      </c>
      <c r="N101">
        <v>880</v>
      </c>
      <c r="O101" s="3">
        <f t="shared" si="2"/>
        <v>67058640</v>
      </c>
      <c r="P101" s="3">
        <f t="shared" si="3"/>
        <v>66818814</v>
      </c>
    </row>
    <row r="102" spans="1:16">
      <c r="A102">
        <v>2016</v>
      </c>
      <c r="B102" t="s">
        <v>16</v>
      </c>
      <c r="C102" t="s">
        <v>44</v>
      </c>
      <c r="D102" t="s">
        <v>41</v>
      </c>
      <c r="E102" t="s">
        <v>23</v>
      </c>
      <c r="F102" t="s">
        <v>33</v>
      </c>
      <c r="G102" s="3">
        <v>60081</v>
      </c>
      <c r="H102" s="3">
        <v>375724</v>
      </c>
      <c r="I102">
        <v>35</v>
      </c>
      <c r="J102" s="3">
        <v>0.97</v>
      </c>
      <c r="K102">
        <v>6.29</v>
      </c>
      <c r="L102">
        <v>1.2</v>
      </c>
      <c r="M102">
        <v>8</v>
      </c>
      <c r="N102">
        <v>100</v>
      </c>
      <c r="O102" s="3">
        <f t="shared" si="2"/>
        <v>6008100</v>
      </c>
      <c r="P102" s="3">
        <f t="shared" si="3"/>
        <v>5632376</v>
      </c>
    </row>
    <row r="103" spans="1:16">
      <c r="A103">
        <v>2015</v>
      </c>
      <c r="B103" t="s">
        <v>21</v>
      </c>
      <c r="C103" t="s">
        <v>51</v>
      </c>
      <c r="D103" t="s">
        <v>36</v>
      </c>
      <c r="E103" t="s">
        <v>19</v>
      </c>
      <c r="F103" t="s">
        <v>33</v>
      </c>
      <c r="G103" s="3">
        <v>96861</v>
      </c>
      <c r="H103" s="3">
        <v>465685</v>
      </c>
      <c r="I103">
        <v>81</v>
      </c>
      <c r="J103" s="3">
        <v>0.97</v>
      </c>
      <c r="K103">
        <v>6.29</v>
      </c>
      <c r="L103">
        <v>1.2</v>
      </c>
      <c r="M103">
        <v>3</v>
      </c>
      <c r="N103">
        <v>451</v>
      </c>
      <c r="O103" s="3">
        <f t="shared" si="2"/>
        <v>43684311</v>
      </c>
      <c r="P103" s="3">
        <f t="shared" si="3"/>
        <v>43218626</v>
      </c>
    </row>
    <row r="104" spans="1:16">
      <c r="A104">
        <v>2021</v>
      </c>
      <c r="B104" t="s">
        <v>49</v>
      </c>
      <c r="C104" t="s">
        <v>51</v>
      </c>
      <c r="D104" t="s">
        <v>36</v>
      </c>
      <c r="E104" t="s">
        <v>19</v>
      </c>
      <c r="F104" t="s">
        <v>33</v>
      </c>
      <c r="G104" s="3">
        <v>46350</v>
      </c>
      <c r="H104" s="3">
        <v>376160</v>
      </c>
      <c r="I104">
        <v>270</v>
      </c>
      <c r="J104" s="3">
        <v>0.97</v>
      </c>
      <c r="K104">
        <v>6.29</v>
      </c>
      <c r="L104">
        <v>1.2</v>
      </c>
      <c r="M104">
        <v>1</v>
      </c>
      <c r="N104">
        <v>944</v>
      </c>
      <c r="O104" s="3">
        <f t="shared" si="2"/>
        <v>43754400</v>
      </c>
      <c r="P104" s="3">
        <f t="shared" si="3"/>
        <v>43378240</v>
      </c>
    </row>
    <row r="105" spans="1:16">
      <c r="A105">
        <v>2021</v>
      </c>
      <c r="B105" t="s">
        <v>53</v>
      </c>
      <c r="C105" t="s">
        <v>17</v>
      </c>
      <c r="D105" t="s">
        <v>30</v>
      </c>
      <c r="E105" t="s">
        <v>23</v>
      </c>
      <c r="F105" t="s">
        <v>20</v>
      </c>
      <c r="G105" s="3">
        <v>90512</v>
      </c>
      <c r="H105" s="3">
        <v>96233</v>
      </c>
      <c r="I105">
        <v>263</v>
      </c>
      <c r="J105" s="3">
        <v>0.97</v>
      </c>
      <c r="K105">
        <v>6.29</v>
      </c>
      <c r="L105">
        <v>1.2</v>
      </c>
      <c r="M105">
        <v>4</v>
      </c>
      <c r="N105">
        <v>705</v>
      </c>
      <c r="O105" s="3">
        <f t="shared" si="2"/>
        <v>63810960</v>
      </c>
      <c r="P105" s="3">
        <f t="shared" si="3"/>
        <v>63714727</v>
      </c>
    </row>
    <row r="106" spans="1:16">
      <c r="A106">
        <v>2022</v>
      </c>
      <c r="B106" t="s">
        <v>16</v>
      </c>
      <c r="C106" t="s">
        <v>26</v>
      </c>
      <c r="D106" t="s">
        <v>36</v>
      </c>
      <c r="E106" t="s">
        <v>19</v>
      </c>
      <c r="F106" t="s">
        <v>33</v>
      </c>
      <c r="G106" s="3">
        <v>91809</v>
      </c>
      <c r="H106" s="3">
        <v>442007</v>
      </c>
      <c r="I106">
        <v>280</v>
      </c>
      <c r="J106" s="3">
        <v>0.97</v>
      </c>
      <c r="K106">
        <v>6.29</v>
      </c>
      <c r="L106">
        <v>1.2</v>
      </c>
      <c r="M106">
        <v>1</v>
      </c>
      <c r="N106">
        <v>947</v>
      </c>
      <c r="O106" s="3">
        <f t="shared" si="2"/>
        <v>86943123</v>
      </c>
      <c r="P106" s="3">
        <f t="shared" si="3"/>
        <v>86501116</v>
      </c>
    </row>
    <row r="107" spans="1:16">
      <c r="A107">
        <v>2019</v>
      </c>
      <c r="B107" t="s">
        <v>49</v>
      </c>
      <c r="C107" t="s">
        <v>44</v>
      </c>
      <c r="D107" t="s">
        <v>41</v>
      </c>
      <c r="E107" t="s">
        <v>23</v>
      </c>
      <c r="F107" t="s">
        <v>24</v>
      </c>
      <c r="G107" s="3">
        <v>77832</v>
      </c>
      <c r="H107" s="3">
        <v>247780</v>
      </c>
      <c r="I107">
        <v>132</v>
      </c>
      <c r="J107" s="3">
        <v>0.97</v>
      </c>
      <c r="K107">
        <v>6.29</v>
      </c>
      <c r="L107">
        <v>1.2</v>
      </c>
      <c r="M107">
        <v>8</v>
      </c>
      <c r="N107">
        <v>658</v>
      </c>
      <c r="O107" s="3">
        <f t="shared" si="2"/>
        <v>51213456</v>
      </c>
      <c r="P107" s="3">
        <f t="shared" si="3"/>
        <v>50965676</v>
      </c>
    </row>
    <row r="108" spans="1:16">
      <c r="A108">
        <v>2017</v>
      </c>
      <c r="B108" t="s">
        <v>53</v>
      </c>
      <c r="C108" t="s">
        <v>44</v>
      </c>
      <c r="D108" t="s">
        <v>39</v>
      </c>
      <c r="E108" t="s">
        <v>23</v>
      </c>
      <c r="F108" t="s">
        <v>24</v>
      </c>
      <c r="G108" s="3">
        <v>63369</v>
      </c>
      <c r="H108" s="3">
        <v>274522</v>
      </c>
      <c r="I108">
        <v>153</v>
      </c>
      <c r="J108" s="3">
        <v>0.97</v>
      </c>
      <c r="K108">
        <v>6.29</v>
      </c>
      <c r="L108">
        <v>1.2</v>
      </c>
      <c r="M108">
        <v>5</v>
      </c>
      <c r="N108">
        <v>532</v>
      </c>
      <c r="O108" s="3">
        <f t="shared" si="2"/>
        <v>33712308</v>
      </c>
      <c r="P108" s="3">
        <f t="shared" si="3"/>
        <v>33437786</v>
      </c>
    </row>
    <row r="109" spans="1:16">
      <c r="A109">
        <v>2022</v>
      </c>
      <c r="B109" t="s">
        <v>53</v>
      </c>
      <c r="C109" t="s">
        <v>17</v>
      </c>
      <c r="D109" t="s">
        <v>22</v>
      </c>
      <c r="E109" t="s">
        <v>23</v>
      </c>
      <c r="F109" t="s">
        <v>24</v>
      </c>
      <c r="G109" s="3">
        <v>66728</v>
      </c>
      <c r="H109" s="3">
        <v>156311</v>
      </c>
      <c r="I109">
        <v>266</v>
      </c>
      <c r="J109" s="3">
        <v>0.97</v>
      </c>
      <c r="K109">
        <v>6.29</v>
      </c>
      <c r="L109">
        <v>1.2</v>
      </c>
      <c r="M109">
        <v>1</v>
      </c>
      <c r="N109">
        <v>904</v>
      </c>
      <c r="O109" s="3">
        <f t="shared" si="2"/>
        <v>60322112</v>
      </c>
      <c r="P109" s="3">
        <f t="shared" si="3"/>
        <v>60165801</v>
      </c>
    </row>
    <row r="110" spans="1:16">
      <c r="A110">
        <v>2020</v>
      </c>
      <c r="B110" t="s">
        <v>48</v>
      </c>
      <c r="C110" t="s">
        <v>34</v>
      </c>
      <c r="D110" t="s">
        <v>41</v>
      </c>
      <c r="E110" t="s">
        <v>23</v>
      </c>
      <c r="F110" t="s">
        <v>33</v>
      </c>
      <c r="G110" s="3">
        <v>52576</v>
      </c>
      <c r="H110" s="3">
        <v>84409</v>
      </c>
      <c r="I110">
        <v>153</v>
      </c>
      <c r="J110" s="3">
        <v>0.97</v>
      </c>
      <c r="K110">
        <v>6.29</v>
      </c>
      <c r="L110">
        <v>1.2</v>
      </c>
      <c r="M110">
        <v>8</v>
      </c>
      <c r="N110">
        <v>728</v>
      </c>
      <c r="O110" s="3">
        <f t="shared" si="2"/>
        <v>38275328</v>
      </c>
      <c r="P110" s="3">
        <f t="shared" si="3"/>
        <v>38190919</v>
      </c>
    </row>
    <row r="111" spans="1:16">
      <c r="A111">
        <v>2017</v>
      </c>
      <c r="B111" t="s">
        <v>25</v>
      </c>
      <c r="C111" t="s">
        <v>34</v>
      </c>
      <c r="D111" t="s">
        <v>22</v>
      </c>
      <c r="E111" t="s">
        <v>23</v>
      </c>
      <c r="F111" t="s">
        <v>28</v>
      </c>
      <c r="G111" s="3">
        <v>64001</v>
      </c>
      <c r="H111" s="3">
        <v>296231</v>
      </c>
      <c r="I111">
        <v>268</v>
      </c>
      <c r="J111" s="3">
        <v>0.97</v>
      </c>
      <c r="K111">
        <v>6.29</v>
      </c>
      <c r="L111">
        <v>1.2</v>
      </c>
      <c r="M111">
        <v>9</v>
      </c>
      <c r="N111">
        <v>709</v>
      </c>
      <c r="O111" s="3">
        <f t="shared" si="2"/>
        <v>45376709</v>
      </c>
      <c r="P111" s="3">
        <f t="shared" si="3"/>
        <v>45080478</v>
      </c>
    </row>
    <row r="112" spans="1:16">
      <c r="A112">
        <v>2015</v>
      </c>
      <c r="B112" t="s">
        <v>16</v>
      </c>
      <c r="C112" t="s">
        <v>34</v>
      </c>
      <c r="D112" t="s">
        <v>22</v>
      </c>
      <c r="E112" t="s">
        <v>23</v>
      </c>
      <c r="F112" t="s">
        <v>28</v>
      </c>
      <c r="G112" s="3">
        <v>118384</v>
      </c>
      <c r="H112" s="3">
        <v>462540</v>
      </c>
      <c r="I112">
        <v>56</v>
      </c>
      <c r="J112" s="3">
        <v>0.97</v>
      </c>
      <c r="K112">
        <v>6.29</v>
      </c>
      <c r="L112">
        <v>1.2</v>
      </c>
      <c r="M112">
        <v>10</v>
      </c>
      <c r="N112">
        <v>368</v>
      </c>
      <c r="O112" s="3">
        <f t="shared" si="2"/>
        <v>43565312</v>
      </c>
      <c r="P112" s="3">
        <f t="shared" si="3"/>
        <v>43102772</v>
      </c>
    </row>
    <row r="113" spans="1:16">
      <c r="A113">
        <v>2017</v>
      </c>
      <c r="B113" t="s">
        <v>53</v>
      </c>
      <c r="C113" t="s">
        <v>46</v>
      </c>
      <c r="D113" t="s">
        <v>42</v>
      </c>
      <c r="E113" t="s">
        <v>19</v>
      </c>
      <c r="F113" t="s">
        <v>24</v>
      </c>
      <c r="G113" s="3">
        <v>35390</v>
      </c>
      <c r="H113" s="3">
        <v>451954</v>
      </c>
      <c r="I113">
        <v>360</v>
      </c>
      <c r="J113" s="3">
        <v>0.97</v>
      </c>
      <c r="K113">
        <v>6.29</v>
      </c>
      <c r="L113">
        <v>1.2</v>
      </c>
      <c r="M113">
        <v>2</v>
      </c>
      <c r="N113">
        <v>1007</v>
      </c>
      <c r="O113" s="3">
        <f t="shared" si="2"/>
        <v>35637730</v>
      </c>
      <c r="P113" s="3">
        <f t="shared" si="3"/>
        <v>35185776</v>
      </c>
    </row>
    <row r="114" spans="1:16">
      <c r="A114">
        <v>2019</v>
      </c>
      <c r="B114" t="s">
        <v>48</v>
      </c>
      <c r="C114" t="s">
        <v>51</v>
      </c>
      <c r="D114" t="s">
        <v>39</v>
      </c>
      <c r="E114" t="s">
        <v>23</v>
      </c>
      <c r="F114" t="s">
        <v>20</v>
      </c>
      <c r="G114" s="3">
        <v>80436</v>
      </c>
      <c r="H114" s="3">
        <v>336198</v>
      </c>
      <c r="I114">
        <v>22</v>
      </c>
      <c r="J114" s="3">
        <v>0.97</v>
      </c>
      <c r="K114">
        <v>6.29</v>
      </c>
      <c r="L114">
        <v>1.2</v>
      </c>
      <c r="M114">
        <v>9</v>
      </c>
      <c r="N114">
        <v>193</v>
      </c>
      <c r="O114" s="3">
        <f t="shared" si="2"/>
        <v>15524148</v>
      </c>
      <c r="P114" s="3">
        <f t="shared" si="3"/>
        <v>15187950</v>
      </c>
    </row>
    <row r="115" spans="1:16">
      <c r="A115">
        <v>2017</v>
      </c>
      <c r="B115" t="s">
        <v>49</v>
      </c>
      <c r="C115" t="s">
        <v>46</v>
      </c>
      <c r="D115" t="s">
        <v>52</v>
      </c>
      <c r="E115" t="s">
        <v>19</v>
      </c>
      <c r="F115" t="s">
        <v>28</v>
      </c>
      <c r="G115" s="3">
        <v>46569</v>
      </c>
      <c r="H115" s="3">
        <v>79709</v>
      </c>
      <c r="I115">
        <v>385</v>
      </c>
      <c r="J115" s="3">
        <v>0.97</v>
      </c>
      <c r="K115">
        <v>6.29</v>
      </c>
      <c r="L115">
        <v>1.2</v>
      </c>
      <c r="M115">
        <v>8</v>
      </c>
      <c r="N115">
        <v>874</v>
      </c>
      <c r="O115" s="3">
        <f t="shared" si="2"/>
        <v>40701306</v>
      </c>
      <c r="P115" s="3">
        <f t="shared" si="3"/>
        <v>40621597</v>
      </c>
    </row>
    <row r="116" spans="1:16">
      <c r="A116">
        <v>2015</v>
      </c>
      <c r="B116" t="s">
        <v>35</v>
      </c>
      <c r="C116" t="s">
        <v>26</v>
      </c>
      <c r="D116" t="s">
        <v>36</v>
      </c>
      <c r="E116" t="s">
        <v>19</v>
      </c>
      <c r="F116" t="s">
        <v>33</v>
      </c>
      <c r="G116" s="3">
        <v>48029</v>
      </c>
      <c r="H116" s="3">
        <v>159321</v>
      </c>
      <c r="I116">
        <v>217</v>
      </c>
      <c r="J116" s="3">
        <v>0.97</v>
      </c>
      <c r="K116">
        <v>6.29</v>
      </c>
      <c r="L116">
        <v>1.2</v>
      </c>
      <c r="M116">
        <v>7</v>
      </c>
      <c r="N116">
        <v>622</v>
      </c>
      <c r="O116" s="3">
        <f t="shared" si="2"/>
        <v>29874038</v>
      </c>
      <c r="P116" s="3">
        <f t="shared" si="3"/>
        <v>29714717</v>
      </c>
    </row>
    <row r="117" spans="1:16">
      <c r="A117">
        <v>2019</v>
      </c>
      <c r="B117" t="s">
        <v>16</v>
      </c>
      <c r="C117" t="s">
        <v>17</v>
      </c>
      <c r="D117" t="s">
        <v>52</v>
      </c>
      <c r="E117" t="s">
        <v>19</v>
      </c>
      <c r="F117" t="s">
        <v>28</v>
      </c>
      <c r="G117" s="3">
        <v>57490</v>
      </c>
      <c r="H117" s="3">
        <v>50363</v>
      </c>
      <c r="I117">
        <v>320</v>
      </c>
      <c r="J117" s="3">
        <v>0.97</v>
      </c>
      <c r="K117">
        <v>6.29</v>
      </c>
      <c r="L117">
        <v>1.2</v>
      </c>
      <c r="M117">
        <v>3</v>
      </c>
      <c r="N117">
        <v>1049</v>
      </c>
      <c r="O117" s="3">
        <f t="shared" si="2"/>
        <v>60307010</v>
      </c>
      <c r="P117" s="3">
        <f t="shared" si="3"/>
        <v>60256647</v>
      </c>
    </row>
    <row r="118" spans="1:16">
      <c r="A118">
        <v>2024</v>
      </c>
      <c r="B118" t="s">
        <v>21</v>
      </c>
      <c r="C118" t="s">
        <v>44</v>
      </c>
      <c r="D118" t="s">
        <v>42</v>
      </c>
      <c r="E118" t="s">
        <v>19</v>
      </c>
      <c r="F118" t="s">
        <v>24</v>
      </c>
      <c r="G118" s="3">
        <v>80875</v>
      </c>
      <c r="H118" s="3">
        <v>322502</v>
      </c>
      <c r="I118">
        <v>244</v>
      </c>
      <c r="J118" s="3">
        <v>0.97</v>
      </c>
      <c r="K118">
        <v>6.29</v>
      </c>
      <c r="L118">
        <v>1.2</v>
      </c>
      <c r="M118">
        <v>2</v>
      </c>
      <c r="N118">
        <v>857</v>
      </c>
      <c r="O118" s="3">
        <f t="shared" si="2"/>
        <v>69309875</v>
      </c>
      <c r="P118" s="3">
        <f t="shared" si="3"/>
        <v>68987373</v>
      </c>
    </row>
    <row r="119" spans="1:16">
      <c r="A119">
        <v>2021</v>
      </c>
      <c r="B119" t="s">
        <v>50</v>
      </c>
      <c r="C119" t="s">
        <v>51</v>
      </c>
      <c r="D119" t="s">
        <v>22</v>
      </c>
      <c r="E119" t="s">
        <v>23</v>
      </c>
      <c r="F119" t="s">
        <v>20</v>
      </c>
      <c r="G119" s="3">
        <v>40867</v>
      </c>
      <c r="H119" s="3">
        <v>446456</v>
      </c>
      <c r="I119">
        <v>158</v>
      </c>
      <c r="J119" s="3">
        <v>0.97</v>
      </c>
      <c r="K119">
        <v>6.29</v>
      </c>
      <c r="L119">
        <v>1.2</v>
      </c>
      <c r="M119">
        <v>7</v>
      </c>
      <c r="N119">
        <v>426</v>
      </c>
      <c r="O119" s="3">
        <f t="shared" si="2"/>
        <v>17409342</v>
      </c>
      <c r="P119" s="3">
        <f t="shared" si="3"/>
        <v>16962886</v>
      </c>
    </row>
    <row r="120" spans="1:16">
      <c r="A120">
        <v>2021</v>
      </c>
      <c r="B120" t="s">
        <v>50</v>
      </c>
      <c r="C120" t="s">
        <v>46</v>
      </c>
      <c r="D120" t="s">
        <v>30</v>
      </c>
      <c r="E120" t="s">
        <v>23</v>
      </c>
      <c r="F120" t="s">
        <v>28</v>
      </c>
      <c r="G120" s="3">
        <v>115820</v>
      </c>
      <c r="H120" s="3">
        <v>95689</v>
      </c>
      <c r="I120">
        <v>331</v>
      </c>
      <c r="J120" s="3">
        <v>0.97</v>
      </c>
      <c r="K120">
        <v>6.29</v>
      </c>
      <c r="L120">
        <v>1.2</v>
      </c>
      <c r="M120">
        <v>5</v>
      </c>
      <c r="N120">
        <v>1055</v>
      </c>
      <c r="O120" s="3">
        <f t="shared" si="2"/>
        <v>122190100</v>
      </c>
      <c r="P120" s="3">
        <f t="shared" si="3"/>
        <v>122094411</v>
      </c>
    </row>
    <row r="121" spans="1:16">
      <c r="A121">
        <v>2023</v>
      </c>
      <c r="B121" t="s">
        <v>49</v>
      </c>
      <c r="C121" t="s">
        <v>46</v>
      </c>
      <c r="D121" t="s">
        <v>36</v>
      </c>
      <c r="E121" t="s">
        <v>19</v>
      </c>
      <c r="F121" t="s">
        <v>28</v>
      </c>
      <c r="G121" s="3">
        <v>44121</v>
      </c>
      <c r="H121" s="3">
        <v>314080</v>
      </c>
      <c r="I121">
        <v>164</v>
      </c>
      <c r="J121" s="3">
        <v>0.97</v>
      </c>
      <c r="K121">
        <v>6.29</v>
      </c>
      <c r="L121">
        <v>1.2</v>
      </c>
      <c r="M121">
        <v>6</v>
      </c>
      <c r="N121">
        <v>742</v>
      </c>
      <c r="O121" s="3">
        <f t="shared" si="2"/>
        <v>32737782</v>
      </c>
      <c r="P121" s="3">
        <f t="shared" si="3"/>
        <v>32423702</v>
      </c>
    </row>
    <row r="122" spans="1:16">
      <c r="A122">
        <v>2024</v>
      </c>
      <c r="B122" t="s">
        <v>43</v>
      </c>
      <c r="C122" t="s">
        <v>40</v>
      </c>
      <c r="D122" t="s">
        <v>36</v>
      </c>
      <c r="E122" t="s">
        <v>19</v>
      </c>
      <c r="F122" t="s">
        <v>24</v>
      </c>
      <c r="G122" s="3">
        <v>36539</v>
      </c>
      <c r="H122" s="3">
        <v>424416</v>
      </c>
      <c r="I122">
        <v>175</v>
      </c>
      <c r="J122" s="3">
        <v>0.97</v>
      </c>
      <c r="K122">
        <v>6.29</v>
      </c>
      <c r="L122">
        <v>1.2</v>
      </c>
      <c r="M122">
        <v>4</v>
      </c>
      <c r="N122">
        <v>686</v>
      </c>
      <c r="O122" s="3">
        <f t="shared" si="2"/>
        <v>25065754</v>
      </c>
      <c r="P122" s="3">
        <f t="shared" si="3"/>
        <v>24641338</v>
      </c>
    </row>
    <row r="123" spans="1:16">
      <c r="A123">
        <v>2024</v>
      </c>
      <c r="B123" t="s">
        <v>43</v>
      </c>
      <c r="C123" t="s">
        <v>46</v>
      </c>
      <c r="D123" t="s">
        <v>39</v>
      </c>
      <c r="E123" t="s">
        <v>23</v>
      </c>
      <c r="F123" t="s">
        <v>20</v>
      </c>
      <c r="G123" s="3">
        <v>52027</v>
      </c>
      <c r="H123" s="3">
        <v>141074</v>
      </c>
      <c r="I123">
        <v>99</v>
      </c>
      <c r="J123" s="3">
        <v>0.97</v>
      </c>
      <c r="K123">
        <v>6.29</v>
      </c>
      <c r="L123">
        <v>1.2</v>
      </c>
      <c r="M123">
        <v>2</v>
      </c>
      <c r="N123">
        <v>299</v>
      </c>
      <c r="O123" s="3">
        <f t="shared" si="2"/>
        <v>15556073</v>
      </c>
      <c r="P123" s="3">
        <f t="shared" si="3"/>
        <v>15414999</v>
      </c>
    </row>
    <row r="124" spans="1:16">
      <c r="A124">
        <v>2017</v>
      </c>
      <c r="B124" t="s">
        <v>49</v>
      </c>
      <c r="C124" t="s">
        <v>31</v>
      </c>
      <c r="D124" t="s">
        <v>18</v>
      </c>
      <c r="E124" t="s">
        <v>19</v>
      </c>
      <c r="F124" t="s">
        <v>20</v>
      </c>
      <c r="G124" s="3">
        <v>109229</v>
      </c>
      <c r="H124" s="3">
        <v>225037</v>
      </c>
      <c r="I124">
        <v>195</v>
      </c>
      <c r="J124" s="3">
        <v>0.97</v>
      </c>
      <c r="K124">
        <v>6.29</v>
      </c>
      <c r="L124">
        <v>1.2</v>
      </c>
      <c r="M124">
        <v>9</v>
      </c>
      <c r="N124">
        <v>716</v>
      </c>
      <c r="O124" s="3">
        <f t="shared" si="2"/>
        <v>78207964</v>
      </c>
      <c r="P124" s="3">
        <f t="shared" si="3"/>
        <v>77982927</v>
      </c>
    </row>
    <row r="125" spans="1:16">
      <c r="A125">
        <v>2021</v>
      </c>
      <c r="B125" t="s">
        <v>53</v>
      </c>
      <c r="C125" t="s">
        <v>44</v>
      </c>
      <c r="D125" t="s">
        <v>27</v>
      </c>
      <c r="E125" t="s">
        <v>23</v>
      </c>
      <c r="F125" t="s">
        <v>24</v>
      </c>
      <c r="G125" s="3">
        <v>43921</v>
      </c>
      <c r="H125" s="3">
        <v>258606</v>
      </c>
      <c r="I125">
        <v>327</v>
      </c>
      <c r="J125" s="3">
        <v>0.97</v>
      </c>
      <c r="K125">
        <v>6.29</v>
      </c>
      <c r="L125">
        <v>1.2</v>
      </c>
      <c r="M125">
        <v>3</v>
      </c>
      <c r="N125">
        <v>906</v>
      </c>
      <c r="O125" s="3">
        <f t="shared" si="2"/>
        <v>39792426</v>
      </c>
      <c r="P125" s="3">
        <f t="shared" si="3"/>
        <v>39533820</v>
      </c>
    </row>
    <row r="126" spans="1:16">
      <c r="A126">
        <v>2015</v>
      </c>
      <c r="B126" t="s">
        <v>25</v>
      </c>
      <c r="C126" t="s">
        <v>31</v>
      </c>
      <c r="D126" t="s">
        <v>27</v>
      </c>
      <c r="E126" t="s">
        <v>23</v>
      </c>
      <c r="F126" t="s">
        <v>33</v>
      </c>
      <c r="G126" s="3">
        <v>85435</v>
      </c>
      <c r="H126" s="3">
        <v>50882</v>
      </c>
      <c r="I126">
        <v>367</v>
      </c>
      <c r="J126" s="3">
        <v>0.97</v>
      </c>
      <c r="K126">
        <v>6.29</v>
      </c>
      <c r="L126">
        <v>1.2</v>
      </c>
      <c r="M126">
        <v>7</v>
      </c>
      <c r="N126">
        <v>1038</v>
      </c>
      <c r="O126" s="3">
        <f t="shared" si="2"/>
        <v>88681530</v>
      </c>
      <c r="P126" s="3">
        <f t="shared" si="3"/>
        <v>88630648</v>
      </c>
    </row>
    <row r="127" spans="1:16">
      <c r="A127">
        <v>2018</v>
      </c>
      <c r="B127" t="s">
        <v>16</v>
      </c>
      <c r="C127" t="s">
        <v>44</v>
      </c>
      <c r="D127" t="s">
        <v>27</v>
      </c>
      <c r="E127" t="s">
        <v>23</v>
      </c>
      <c r="F127" t="s">
        <v>28</v>
      </c>
      <c r="G127" s="3">
        <v>45310</v>
      </c>
      <c r="H127" s="3">
        <v>463440</v>
      </c>
      <c r="I127">
        <v>183</v>
      </c>
      <c r="J127" s="3">
        <v>0.97</v>
      </c>
      <c r="K127">
        <v>6.29</v>
      </c>
      <c r="L127">
        <v>1.2</v>
      </c>
      <c r="M127">
        <v>8</v>
      </c>
      <c r="N127">
        <v>421</v>
      </c>
      <c r="O127" s="3">
        <f t="shared" si="2"/>
        <v>19075510</v>
      </c>
      <c r="P127" s="3">
        <f t="shared" si="3"/>
        <v>18612070</v>
      </c>
    </row>
    <row r="128" spans="1:16">
      <c r="A128">
        <v>2018</v>
      </c>
      <c r="B128" t="s">
        <v>50</v>
      </c>
      <c r="C128" t="s">
        <v>17</v>
      </c>
      <c r="D128" t="s">
        <v>18</v>
      </c>
      <c r="E128" t="s">
        <v>19</v>
      </c>
      <c r="F128" t="s">
        <v>33</v>
      </c>
      <c r="G128" s="3">
        <v>98965</v>
      </c>
      <c r="H128" s="3">
        <v>417371</v>
      </c>
      <c r="I128">
        <v>226</v>
      </c>
      <c r="J128" s="3">
        <v>0.97</v>
      </c>
      <c r="K128">
        <v>6.29</v>
      </c>
      <c r="L128">
        <v>1.2</v>
      </c>
      <c r="M128">
        <v>2</v>
      </c>
      <c r="N128">
        <v>551</v>
      </c>
      <c r="O128" s="3">
        <f t="shared" si="2"/>
        <v>54529715</v>
      </c>
      <c r="P128" s="3">
        <f t="shared" si="3"/>
        <v>54112344</v>
      </c>
    </row>
    <row r="129" spans="1:16">
      <c r="A129">
        <v>2019</v>
      </c>
      <c r="B129" t="s">
        <v>50</v>
      </c>
      <c r="C129" t="s">
        <v>44</v>
      </c>
      <c r="D129" t="s">
        <v>39</v>
      </c>
      <c r="E129" t="s">
        <v>23</v>
      </c>
      <c r="F129" t="s">
        <v>28</v>
      </c>
      <c r="G129" s="3">
        <v>104922</v>
      </c>
      <c r="H129" s="3">
        <v>304822</v>
      </c>
      <c r="I129">
        <v>273</v>
      </c>
      <c r="J129" s="3">
        <v>0.97</v>
      </c>
      <c r="K129">
        <v>6.29</v>
      </c>
      <c r="L129">
        <v>1.2</v>
      </c>
      <c r="M129">
        <v>6</v>
      </c>
      <c r="N129">
        <v>941</v>
      </c>
      <c r="O129" s="3">
        <f t="shared" si="2"/>
        <v>98731602</v>
      </c>
      <c r="P129" s="3">
        <f t="shared" si="3"/>
        <v>98426780</v>
      </c>
    </row>
    <row r="130" spans="1:16">
      <c r="A130">
        <v>2021</v>
      </c>
      <c r="B130" t="s">
        <v>25</v>
      </c>
      <c r="C130" t="s">
        <v>31</v>
      </c>
      <c r="D130" t="s">
        <v>18</v>
      </c>
      <c r="E130" t="s">
        <v>19</v>
      </c>
      <c r="F130" t="s">
        <v>28</v>
      </c>
      <c r="G130" s="3">
        <v>117839</v>
      </c>
      <c r="H130" s="3">
        <v>175865</v>
      </c>
      <c r="I130">
        <v>106</v>
      </c>
      <c r="J130" s="3">
        <v>0.97</v>
      </c>
      <c r="K130">
        <v>6.29</v>
      </c>
      <c r="L130">
        <v>1.2</v>
      </c>
      <c r="M130">
        <v>8</v>
      </c>
      <c r="N130">
        <v>626</v>
      </c>
      <c r="O130" s="3">
        <f t="shared" si="2"/>
        <v>73767214</v>
      </c>
      <c r="P130" s="3">
        <f t="shared" si="3"/>
        <v>73591349</v>
      </c>
    </row>
    <row r="131" spans="1:16">
      <c r="A131">
        <v>2021</v>
      </c>
      <c r="B131" t="s">
        <v>53</v>
      </c>
      <c r="C131" t="s">
        <v>44</v>
      </c>
      <c r="D131" t="s">
        <v>27</v>
      </c>
      <c r="E131" t="s">
        <v>23</v>
      </c>
      <c r="F131" t="s">
        <v>33</v>
      </c>
      <c r="G131" s="3">
        <v>47242</v>
      </c>
      <c r="H131" s="3">
        <v>173745</v>
      </c>
      <c r="I131">
        <v>126</v>
      </c>
      <c r="J131" s="3">
        <v>0.97</v>
      </c>
      <c r="K131">
        <v>6.29</v>
      </c>
      <c r="L131">
        <v>1.2</v>
      </c>
      <c r="M131">
        <v>7</v>
      </c>
      <c r="N131">
        <v>632</v>
      </c>
      <c r="O131" s="3">
        <f t="shared" ref="O131:O194" si="4">N131*G131</f>
        <v>29856944</v>
      </c>
      <c r="P131" s="3">
        <f t="shared" ref="P131:P194" si="5">O131-H131</f>
        <v>29683199</v>
      </c>
    </row>
    <row r="132" spans="1:16">
      <c r="A132">
        <v>2018</v>
      </c>
      <c r="B132" t="s">
        <v>50</v>
      </c>
      <c r="C132" t="s">
        <v>17</v>
      </c>
      <c r="D132" t="s">
        <v>42</v>
      </c>
      <c r="E132" t="s">
        <v>19</v>
      </c>
      <c r="F132" t="s">
        <v>24</v>
      </c>
      <c r="G132" s="3">
        <v>43947</v>
      </c>
      <c r="H132" s="3">
        <v>474041</v>
      </c>
      <c r="I132">
        <v>208</v>
      </c>
      <c r="J132" s="3">
        <v>0.97</v>
      </c>
      <c r="K132">
        <v>6.29</v>
      </c>
      <c r="L132">
        <v>1.2</v>
      </c>
      <c r="M132">
        <v>3</v>
      </c>
      <c r="N132">
        <v>837</v>
      </c>
      <c r="O132" s="3">
        <f t="shared" si="4"/>
        <v>36783639</v>
      </c>
      <c r="P132" s="3">
        <f t="shared" si="5"/>
        <v>36309598</v>
      </c>
    </row>
    <row r="133" spans="1:16">
      <c r="A133">
        <v>2021</v>
      </c>
      <c r="B133" t="s">
        <v>21</v>
      </c>
      <c r="C133" t="s">
        <v>17</v>
      </c>
      <c r="D133" t="s">
        <v>41</v>
      </c>
      <c r="E133" t="s">
        <v>23</v>
      </c>
      <c r="F133" t="s">
        <v>24</v>
      </c>
      <c r="G133" s="3">
        <v>106466</v>
      </c>
      <c r="H133" s="3">
        <v>78885</v>
      </c>
      <c r="I133">
        <v>329</v>
      </c>
      <c r="J133" s="3">
        <v>0.97</v>
      </c>
      <c r="K133">
        <v>6.29</v>
      </c>
      <c r="L133">
        <v>1.2</v>
      </c>
      <c r="M133">
        <v>1</v>
      </c>
      <c r="N133">
        <v>749</v>
      </c>
      <c r="O133" s="3">
        <f t="shared" si="4"/>
        <v>79743034</v>
      </c>
      <c r="P133" s="3">
        <f t="shared" si="5"/>
        <v>79664149</v>
      </c>
    </row>
    <row r="134" spans="1:16">
      <c r="A134">
        <v>2017</v>
      </c>
      <c r="B134" t="s">
        <v>16</v>
      </c>
      <c r="C134" t="s">
        <v>26</v>
      </c>
      <c r="D134" t="s">
        <v>22</v>
      </c>
      <c r="E134" t="s">
        <v>23</v>
      </c>
      <c r="F134" t="s">
        <v>28</v>
      </c>
      <c r="G134" s="3">
        <v>96816</v>
      </c>
      <c r="H134" s="3">
        <v>221128</v>
      </c>
      <c r="I134">
        <v>30</v>
      </c>
      <c r="J134" s="3">
        <v>0.97</v>
      </c>
      <c r="K134">
        <v>6.29</v>
      </c>
      <c r="L134">
        <v>1.2</v>
      </c>
      <c r="M134">
        <v>6</v>
      </c>
      <c r="N134">
        <v>373</v>
      </c>
      <c r="O134" s="3">
        <f t="shared" si="4"/>
        <v>36112368</v>
      </c>
      <c r="P134" s="3">
        <f t="shared" si="5"/>
        <v>35891240</v>
      </c>
    </row>
    <row r="135" spans="1:16">
      <c r="A135">
        <v>2020</v>
      </c>
      <c r="B135" t="s">
        <v>47</v>
      </c>
      <c r="C135" t="s">
        <v>44</v>
      </c>
      <c r="D135" t="s">
        <v>18</v>
      </c>
      <c r="E135" t="s">
        <v>19</v>
      </c>
      <c r="F135" t="s">
        <v>24</v>
      </c>
      <c r="G135" s="3">
        <v>83785</v>
      </c>
      <c r="H135" s="3">
        <v>446419</v>
      </c>
      <c r="I135">
        <v>209</v>
      </c>
      <c r="J135" s="3">
        <v>0.97</v>
      </c>
      <c r="K135">
        <v>6.29</v>
      </c>
      <c r="L135">
        <v>1.2</v>
      </c>
      <c r="M135">
        <v>8</v>
      </c>
      <c r="N135">
        <v>753</v>
      </c>
      <c r="O135" s="3">
        <f t="shared" si="4"/>
        <v>63090105</v>
      </c>
      <c r="P135" s="3">
        <f t="shared" si="5"/>
        <v>62643686</v>
      </c>
    </row>
    <row r="136" spans="1:16">
      <c r="A136">
        <v>2016</v>
      </c>
      <c r="B136" t="s">
        <v>50</v>
      </c>
      <c r="C136" t="s">
        <v>40</v>
      </c>
      <c r="D136" t="s">
        <v>39</v>
      </c>
      <c r="E136" t="s">
        <v>23</v>
      </c>
      <c r="F136" t="s">
        <v>28</v>
      </c>
      <c r="G136" s="3">
        <v>35507</v>
      </c>
      <c r="H136" s="3">
        <v>241313</v>
      </c>
      <c r="I136">
        <v>380</v>
      </c>
      <c r="J136" s="3">
        <v>0.97</v>
      </c>
      <c r="K136">
        <v>6.29</v>
      </c>
      <c r="L136">
        <v>1.2</v>
      </c>
      <c r="M136">
        <v>6</v>
      </c>
      <c r="N136">
        <v>1169</v>
      </c>
      <c r="O136" s="3">
        <f t="shared" si="4"/>
        <v>41507683</v>
      </c>
      <c r="P136" s="3">
        <f t="shared" si="5"/>
        <v>41266370</v>
      </c>
    </row>
    <row r="137" spans="1:16">
      <c r="A137">
        <v>2024</v>
      </c>
      <c r="B137" t="s">
        <v>49</v>
      </c>
      <c r="C137" t="s">
        <v>34</v>
      </c>
      <c r="D137" t="s">
        <v>39</v>
      </c>
      <c r="E137" t="s">
        <v>23</v>
      </c>
      <c r="F137" t="s">
        <v>24</v>
      </c>
      <c r="G137" s="3">
        <v>101972</v>
      </c>
      <c r="H137" s="3">
        <v>445460</v>
      </c>
      <c r="I137">
        <v>350</v>
      </c>
      <c r="J137" s="3">
        <v>0.97</v>
      </c>
      <c r="K137">
        <v>6.29</v>
      </c>
      <c r="L137">
        <v>1.2</v>
      </c>
      <c r="M137">
        <v>5</v>
      </c>
      <c r="N137">
        <v>780</v>
      </c>
      <c r="O137" s="3">
        <f t="shared" si="4"/>
        <v>79538160</v>
      </c>
      <c r="P137" s="3">
        <f t="shared" si="5"/>
        <v>79092700</v>
      </c>
    </row>
    <row r="138" spans="1:16">
      <c r="A138">
        <v>2023</v>
      </c>
      <c r="B138" t="s">
        <v>21</v>
      </c>
      <c r="C138" t="s">
        <v>45</v>
      </c>
      <c r="D138" t="s">
        <v>52</v>
      </c>
      <c r="E138" t="s">
        <v>19</v>
      </c>
      <c r="F138" t="s">
        <v>28</v>
      </c>
      <c r="G138" s="3">
        <v>62151</v>
      </c>
      <c r="H138" s="3">
        <v>410466</v>
      </c>
      <c r="I138">
        <v>257</v>
      </c>
      <c r="J138" s="3">
        <v>0.97</v>
      </c>
      <c r="K138">
        <v>6.29</v>
      </c>
      <c r="L138">
        <v>1.2</v>
      </c>
      <c r="M138">
        <v>8</v>
      </c>
      <c r="N138">
        <v>756</v>
      </c>
      <c r="O138" s="3">
        <f t="shared" si="4"/>
        <v>46986156</v>
      </c>
      <c r="P138" s="3">
        <f t="shared" si="5"/>
        <v>46575690</v>
      </c>
    </row>
    <row r="139" spans="1:16">
      <c r="A139">
        <v>2019</v>
      </c>
      <c r="B139" t="s">
        <v>50</v>
      </c>
      <c r="C139" t="s">
        <v>17</v>
      </c>
      <c r="D139" t="s">
        <v>41</v>
      </c>
      <c r="E139" t="s">
        <v>23</v>
      </c>
      <c r="F139" t="s">
        <v>24</v>
      </c>
      <c r="G139" s="3">
        <v>46618</v>
      </c>
      <c r="H139" s="3">
        <v>380763</v>
      </c>
      <c r="I139">
        <v>285</v>
      </c>
      <c r="J139" s="3">
        <v>0.97</v>
      </c>
      <c r="K139">
        <v>6.29</v>
      </c>
      <c r="L139">
        <v>1.2</v>
      </c>
      <c r="M139">
        <v>2</v>
      </c>
      <c r="N139">
        <v>848</v>
      </c>
      <c r="O139" s="3">
        <f t="shared" si="4"/>
        <v>39532064</v>
      </c>
      <c r="P139" s="3">
        <f t="shared" si="5"/>
        <v>39151301</v>
      </c>
    </row>
    <row r="140" spans="1:16">
      <c r="A140">
        <v>2020</v>
      </c>
      <c r="B140" t="s">
        <v>29</v>
      </c>
      <c r="C140" t="s">
        <v>38</v>
      </c>
      <c r="D140" t="s">
        <v>30</v>
      </c>
      <c r="E140" t="s">
        <v>23</v>
      </c>
      <c r="F140" t="s">
        <v>20</v>
      </c>
      <c r="G140" s="3">
        <v>109286</v>
      </c>
      <c r="H140" s="3">
        <v>71584</v>
      </c>
      <c r="I140">
        <v>273</v>
      </c>
      <c r="J140" s="3">
        <v>0.97</v>
      </c>
      <c r="K140">
        <v>6.29</v>
      </c>
      <c r="L140">
        <v>1.2</v>
      </c>
      <c r="M140">
        <v>1</v>
      </c>
      <c r="N140">
        <v>911</v>
      </c>
      <c r="O140" s="3">
        <f t="shared" si="4"/>
        <v>99559546</v>
      </c>
      <c r="P140" s="3">
        <f t="shared" si="5"/>
        <v>99487962</v>
      </c>
    </row>
    <row r="141" spans="1:16">
      <c r="A141">
        <v>2018</v>
      </c>
      <c r="B141" t="s">
        <v>21</v>
      </c>
      <c r="C141" t="s">
        <v>34</v>
      </c>
      <c r="D141" t="s">
        <v>36</v>
      </c>
      <c r="E141" t="s">
        <v>19</v>
      </c>
      <c r="F141" t="s">
        <v>33</v>
      </c>
      <c r="G141" s="3">
        <v>51122</v>
      </c>
      <c r="H141" s="3">
        <v>320665</v>
      </c>
      <c r="I141">
        <v>67</v>
      </c>
      <c r="J141" s="3">
        <v>0.97</v>
      </c>
      <c r="K141">
        <v>6.29</v>
      </c>
      <c r="L141">
        <v>1.2</v>
      </c>
      <c r="M141">
        <v>1</v>
      </c>
      <c r="N141">
        <v>530</v>
      </c>
      <c r="O141" s="3">
        <f t="shared" si="4"/>
        <v>27094660</v>
      </c>
      <c r="P141" s="3">
        <f t="shared" si="5"/>
        <v>26773995</v>
      </c>
    </row>
    <row r="142" spans="1:16">
      <c r="A142">
        <v>2024</v>
      </c>
      <c r="B142" t="s">
        <v>48</v>
      </c>
      <c r="C142" t="s">
        <v>51</v>
      </c>
      <c r="D142" t="s">
        <v>27</v>
      </c>
      <c r="E142" t="s">
        <v>23</v>
      </c>
      <c r="F142" t="s">
        <v>20</v>
      </c>
      <c r="G142" s="3">
        <v>42354</v>
      </c>
      <c r="H142" s="3">
        <v>231089</v>
      </c>
      <c r="I142">
        <v>311</v>
      </c>
      <c r="J142" s="3">
        <v>0.97</v>
      </c>
      <c r="K142">
        <v>6.29</v>
      </c>
      <c r="L142">
        <v>1.2</v>
      </c>
      <c r="M142">
        <v>4</v>
      </c>
      <c r="N142">
        <v>989</v>
      </c>
      <c r="O142" s="3">
        <f t="shared" si="4"/>
        <v>41888106</v>
      </c>
      <c r="P142" s="3">
        <f t="shared" si="5"/>
        <v>41657017</v>
      </c>
    </row>
    <row r="143" spans="1:16">
      <c r="A143">
        <v>2021</v>
      </c>
      <c r="B143" t="s">
        <v>47</v>
      </c>
      <c r="C143" t="s">
        <v>44</v>
      </c>
      <c r="D143" t="s">
        <v>30</v>
      </c>
      <c r="E143" t="s">
        <v>23</v>
      </c>
      <c r="F143" t="s">
        <v>33</v>
      </c>
      <c r="G143" s="3">
        <v>65979</v>
      </c>
      <c r="H143" s="3">
        <v>345685</v>
      </c>
      <c r="I143">
        <v>40</v>
      </c>
      <c r="J143" s="3">
        <v>0.97</v>
      </c>
      <c r="K143">
        <v>6.29</v>
      </c>
      <c r="L143">
        <v>1.2</v>
      </c>
      <c r="M143">
        <v>6</v>
      </c>
      <c r="N143">
        <v>203</v>
      </c>
      <c r="O143" s="3">
        <f t="shared" si="4"/>
        <v>13393737</v>
      </c>
      <c r="P143" s="3">
        <f t="shared" si="5"/>
        <v>13048052</v>
      </c>
    </row>
    <row r="144" spans="1:16">
      <c r="A144">
        <v>2023</v>
      </c>
      <c r="B144" t="s">
        <v>37</v>
      </c>
      <c r="C144" t="s">
        <v>31</v>
      </c>
      <c r="D144" t="s">
        <v>52</v>
      </c>
      <c r="E144" t="s">
        <v>19</v>
      </c>
      <c r="F144" t="s">
        <v>33</v>
      </c>
      <c r="G144" s="3">
        <v>114376</v>
      </c>
      <c r="H144" s="3">
        <v>79063</v>
      </c>
      <c r="I144">
        <v>258</v>
      </c>
      <c r="J144" s="3">
        <v>0.97</v>
      </c>
      <c r="K144">
        <v>6.29</v>
      </c>
      <c r="L144">
        <v>1.2</v>
      </c>
      <c r="M144">
        <v>9</v>
      </c>
      <c r="N144">
        <v>685</v>
      </c>
      <c r="O144" s="3">
        <f t="shared" si="4"/>
        <v>78347560</v>
      </c>
      <c r="P144" s="3">
        <f t="shared" si="5"/>
        <v>78268497</v>
      </c>
    </row>
    <row r="145" spans="1:16">
      <c r="A145">
        <v>2021</v>
      </c>
      <c r="B145" t="s">
        <v>49</v>
      </c>
      <c r="C145" t="s">
        <v>45</v>
      </c>
      <c r="D145" t="s">
        <v>27</v>
      </c>
      <c r="E145" t="s">
        <v>23</v>
      </c>
      <c r="F145" t="s">
        <v>28</v>
      </c>
      <c r="G145" s="3">
        <v>87774</v>
      </c>
      <c r="H145" s="3">
        <v>120268</v>
      </c>
      <c r="I145">
        <v>102</v>
      </c>
      <c r="J145" s="3">
        <v>0.97</v>
      </c>
      <c r="K145">
        <v>6.29</v>
      </c>
      <c r="L145">
        <v>1.2</v>
      </c>
      <c r="M145">
        <v>1</v>
      </c>
      <c r="N145">
        <v>408</v>
      </c>
      <c r="O145" s="3">
        <f t="shared" si="4"/>
        <v>35811792</v>
      </c>
      <c r="P145" s="3">
        <f t="shared" si="5"/>
        <v>35691524</v>
      </c>
    </row>
    <row r="146" spans="1:16">
      <c r="A146">
        <v>2015</v>
      </c>
      <c r="B146" t="s">
        <v>49</v>
      </c>
      <c r="C146" t="s">
        <v>38</v>
      </c>
      <c r="D146" t="s">
        <v>41</v>
      </c>
      <c r="E146" t="s">
        <v>23</v>
      </c>
      <c r="F146" t="s">
        <v>33</v>
      </c>
      <c r="G146" s="3">
        <v>40037</v>
      </c>
      <c r="H146" s="3">
        <v>306306</v>
      </c>
      <c r="I146">
        <v>274</v>
      </c>
      <c r="J146" s="3">
        <v>0.97</v>
      </c>
      <c r="K146">
        <v>6.29</v>
      </c>
      <c r="L146">
        <v>1.2</v>
      </c>
      <c r="M146">
        <v>1</v>
      </c>
      <c r="N146">
        <v>762</v>
      </c>
      <c r="O146" s="3">
        <f t="shared" si="4"/>
        <v>30508194</v>
      </c>
      <c r="P146" s="3">
        <f t="shared" si="5"/>
        <v>30201888</v>
      </c>
    </row>
    <row r="147" spans="1:16">
      <c r="A147">
        <v>2015</v>
      </c>
      <c r="B147" t="s">
        <v>16</v>
      </c>
      <c r="C147" t="s">
        <v>34</v>
      </c>
      <c r="D147" t="s">
        <v>52</v>
      </c>
      <c r="E147" t="s">
        <v>19</v>
      </c>
      <c r="F147" t="s">
        <v>20</v>
      </c>
      <c r="G147" s="3">
        <v>63633</v>
      </c>
      <c r="H147" s="3">
        <v>176218</v>
      </c>
      <c r="I147">
        <v>280</v>
      </c>
      <c r="J147" s="3">
        <v>0.97</v>
      </c>
      <c r="K147">
        <v>6.29</v>
      </c>
      <c r="L147">
        <v>1.2</v>
      </c>
      <c r="M147">
        <v>5</v>
      </c>
      <c r="N147">
        <v>941</v>
      </c>
      <c r="O147" s="3">
        <f t="shared" si="4"/>
        <v>59878653</v>
      </c>
      <c r="P147" s="3">
        <f t="shared" si="5"/>
        <v>59702435</v>
      </c>
    </row>
    <row r="148" spans="1:16">
      <c r="A148">
        <v>2023</v>
      </c>
      <c r="B148" t="s">
        <v>25</v>
      </c>
      <c r="C148" t="s">
        <v>44</v>
      </c>
      <c r="D148" t="s">
        <v>27</v>
      </c>
      <c r="E148" t="s">
        <v>23</v>
      </c>
      <c r="F148" t="s">
        <v>20</v>
      </c>
      <c r="G148" s="3">
        <v>59495</v>
      </c>
      <c r="H148" s="3">
        <v>430350</v>
      </c>
      <c r="I148">
        <v>103</v>
      </c>
      <c r="J148" s="3">
        <v>0.97</v>
      </c>
      <c r="K148">
        <v>6.29</v>
      </c>
      <c r="L148">
        <v>1.2</v>
      </c>
      <c r="M148">
        <v>10</v>
      </c>
      <c r="N148">
        <v>425</v>
      </c>
      <c r="O148" s="3">
        <f t="shared" si="4"/>
        <v>25285375</v>
      </c>
      <c r="P148" s="3">
        <f t="shared" si="5"/>
        <v>24855025</v>
      </c>
    </row>
    <row r="149" spans="1:16">
      <c r="A149">
        <v>2023</v>
      </c>
      <c r="B149" t="s">
        <v>21</v>
      </c>
      <c r="C149" t="s">
        <v>26</v>
      </c>
      <c r="D149" t="s">
        <v>41</v>
      </c>
      <c r="E149" t="s">
        <v>23</v>
      </c>
      <c r="F149" t="s">
        <v>24</v>
      </c>
      <c r="G149" s="3">
        <v>99550</v>
      </c>
      <c r="H149" s="3">
        <v>274126</v>
      </c>
      <c r="I149">
        <v>163</v>
      </c>
      <c r="J149" s="3">
        <v>0.97</v>
      </c>
      <c r="K149">
        <v>6.29</v>
      </c>
      <c r="L149">
        <v>1.2</v>
      </c>
      <c r="M149">
        <v>5</v>
      </c>
      <c r="N149">
        <v>596</v>
      </c>
      <c r="O149" s="3">
        <f t="shared" si="4"/>
        <v>59331800</v>
      </c>
      <c r="P149" s="3">
        <f t="shared" si="5"/>
        <v>59057674</v>
      </c>
    </row>
    <row r="150" spans="1:16">
      <c r="A150">
        <v>2018</v>
      </c>
      <c r="B150" t="s">
        <v>53</v>
      </c>
      <c r="C150" t="s">
        <v>51</v>
      </c>
      <c r="D150" t="s">
        <v>32</v>
      </c>
      <c r="E150" t="s">
        <v>19</v>
      </c>
      <c r="F150" t="s">
        <v>20</v>
      </c>
      <c r="G150" s="3">
        <v>116384</v>
      </c>
      <c r="H150" s="3">
        <v>220635</v>
      </c>
      <c r="I150">
        <v>294</v>
      </c>
      <c r="J150" s="3">
        <v>0.97</v>
      </c>
      <c r="K150">
        <v>6.29</v>
      </c>
      <c r="L150">
        <v>1.2</v>
      </c>
      <c r="M150">
        <v>5</v>
      </c>
      <c r="N150">
        <v>769</v>
      </c>
      <c r="O150" s="3">
        <f t="shared" si="4"/>
        <v>89499296</v>
      </c>
      <c r="P150" s="3">
        <f t="shared" si="5"/>
        <v>89278661</v>
      </c>
    </row>
    <row r="151" spans="1:16">
      <c r="A151">
        <v>2023</v>
      </c>
      <c r="B151" t="s">
        <v>49</v>
      </c>
      <c r="C151" t="s">
        <v>45</v>
      </c>
      <c r="D151" t="s">
        <v>30</v>
      </c>
      <c r="E151" t="s">
        <v>23</v>
      </c>
      <c r="F151" t="s">
        <v>24</v>
      </c>
      <c r="G151" s="3">
        <v>71483</v>
      </c>
      <c r="H151" s="3">
        <v>220824</v>
      </c>
      <c r="I151">
        <v>89</v>
      </c>
      <c r="J151" s="3">
        <v>0.97</v>
      </c>
      <c r="K151">
        <v>6.29</v>
      </c>
      <c r="L151">
        <v>1.2</v>
      </c>
      <c r="M151">
        <v>10</v>
      </c>
      <c r="N151">
        <v>543</v>
      </c>
      <c r="O151" s="3">
        <f t="shared" si="4"/>
        <v>38815269</v>
      </c>
      <c r="P151" s="3">
        <f t="shared" si="5"/>
        <v>38594445</v>
      </c>
    </row>
    <row r="152" spans="1:16">
      <c r="A152">
        <v>2017</v>
      </c>
      <c r="B152" t="s">
        <v>21</v>
      </c>
      <c r="C152" t="s">
        <v>40</v>
      </c>
      <c r="D152" t="s">
        <v>30</v>
      </c>
      <c r="E152" t="s">
        <v>23</v>
      </c>
      <c r="F152" t="s">
        <v>33</v>
      </c>
      <c r="G152" s="3">
        <v>108373</v>
      </c>
      <c r="H152" s="3">
        <v>276305</v>
      </c>
      <c r="I152">
        <v>301</v>
      </c>
      <c r="J152" s="3">
        <v>0.97</v>
      </c>
      <c r="K152">
        <v>6.29</v>
      </c>
      <c r="L152">
        <v>1.2</v>
      </c>
      <c r="M152">
        <v>6</v>
      </c>
      <c r="N152">
        <v>997</v>
      </c>
      <c r="O152" s="3">
        <f t="shared" si="4"/>
        <v>108047881</v>
      </c>
      <c r="P152" s="3">
        <f t="shared" si="5"/>
        <v>107771576</v>
      </c>
    </row>
    <row r="153" spans="1:16">
      <c r="A153">
        <v>2021</v>
      </c>
      <c r="B153" t="s">
        <v>21</v>
      </c>
      <c r="C153" t="s">
        <v>26</v>
      </c>
      <c r="D153" t="s">
        <v>36</v>
      </c>
      <c r="E153" t="s">
        <v>19</v>
      </c>
      <c r="F153" t="s">
        <v>20</v>
      </c>
      <c r="G153" s="3">
        <v>69069</v>
      </c>
      <c r="H153" s="3">
        <v>445783</v>
      </c>
      <c r="I153">
        <v>93</v>
      </c>
      <c r="J153" s="3">
        <v>0.97</v>
      </c>
      <c r="K153">
        <v>6.29</v>
      </c>
      <c r="L153">
        <v>1.2</v>
      </c>
      <c r="M153">
        <v>8</v>
      </c>
      <c r="N153">
        <v>357</v>
      </c>
      <c r="O153" s="3">
        <f t="shared" si="4"/>
        <v>24657633</v>
      </c>
      <c r="P153" s="3">
        <f t="shared" si="5"/>
        <v>24211850</v>
      </c>
    </row>
    <row r="154" spans="1:16">
      <c r="A154">
        <v>2020</v>
      </c>
      <c r="B154" t="s">
        <v>29</v>
      </c>
      <c r="C154" t="s">
        <v>38</v>
      </c>
      <c r="D154" t="s">
        <v>41</v>
      </c>
      <c r="E154" t="s">
        <v>23</v>
      </c>
      <c r="F154" t="s">
        <v>33</v>
      </c>
      <c r="G154" s="3">
        <v>42370</v>
      </c>
      <c r="H154" s="3">
        <v>459337</v>
      </c>
      <c r="I154">
        <v>374</v>
      </c>
      <c r="J154" s="3">
        <v>0.97</v>
      </c>
      <c r="K154">
        <v>6.29</v>
      </c>
      <c r="L154">
        <v>1.2</v>
      </c>
      <c r="M154">
        <v>3</v>
      </c>
      <c r="N154">
        <v>1043</v>
      </c>
      <c r="O154" s="3">
        <f t="shared" si="4"/>
        <v>44191910</v>
      </c>
      <c r="P154" s="3">
        <f t="shared" si="5"/>
        <v>43732573</v>
      </c>
    </row>
    <row r="155" spans="1:16">
      <c r="A155">
        <v>2022</v>
      </c>
      <c r="B155" t="s">
        <v>35</v>
      </c>
      <c r="C155" t="s">
        <v>45</v>
      </c>
      <c r="D155" t="s">
        <v>18</v>
      </c>
      <c r="E155" t="s">
        <v>19</v>
      </c>
      <c r="F155" t="s">
        <v>20</v>
      </c>
      <c r="G155" s="3">
        <v>106947</v>
      </c>
      <c r="H155" s="3">
        <v>444890</v>
      </c>
      <c r="I155">
        <v>383</v>
      </c>
      <c r="J155" s="3">
        <v>0.97</v>
      </c>
      <c r="K155">
        <v>6.29</v>
      </c>
      <c r="L155">
        <v>1.2</v>
      </c>
      <c r="M155">
        <v>9</v>
      </c>
      <c r="N155">
        <v>849</v>
      </c>
      <c r="O155" s="3">
        <f t="shared" si="4"/>
        <v>90798003</v>
      </c>
      <c r="P155" s="3">
        <f t="shared" si="5"/>
        <v>90353113</v>
      </c>
    </row>
    <row r="156" spans="1:16">
      <c r="A156">
        <v>2023</v>
      </c>
      <c r="B156" t="s">
        <v>35</v>
      </c>
      <c r="C156" t="s">
        <v>26</v>
      </c>
      <c r="D156" t="s">
        <v>32</v>
      </c>
      <c r="E156" t="s">
        <v>19</v>
      </c>
      <c r="F156" t="s">
        <v>20</v>
      </c>
      <c r="G156" s="3">
        <v>74133</v>
      </c>
      <c r="H156" s="3">
        <v>126411</v>
      </c>
      <c r="I156">
        <v>46</v>
      </c>
      <c r="J156" s="3">
        <v>0.97</v>
      </c>
      <c r="K156">
        <v>6.29</v>
      </c>
      <c r="L156">
        <v>1.2</v>
      </c>
      <c r="M156">
        <v>1</v>
      </c>
      <c r="N156">
        <v>122</v>
      </c>
      <c r="O156" s="3">
        <f t="shared" si="4"/>
        <v>9044226</v>
      </c>
      <c r="P156" s="3">
        <f t="shared" si="5"/>
        <v>8917815</v>
      </c>
    </row>
    <row r="157" spans="1:16">
      <c r="A157">
        <v>2019</v>
      </c>
      <c r="B157" t="s">
        <v>37</v>
      </c>
      <c r="C157" t="s">
        <v>51</v>
      </c>
      <c r="D157" t="s">
        <v>42</v>
      </c>
      <c r="E157" t="s">
        <v>19</v>
      </c>
      <c r="F157" t="s">
        <v>24</v>
      </c>
      <c r="G157" s="3">
        <v>35692</v>
      </c>
      <c r="H157" s="3">
        <v>159876</v>
      </c>
      <c r="I157">
        <v>351</v>
      </c>
      <c r="J157" s="3">
        <v>0.97</v>
      </c>
      <c r="K157">
        <v>6.29</v>
      </c>
      <c r="L157">
        <v>1.2</v>
      </c>
      <c r="M157">
        <v>4</v>
      </c>
      <c r="N157">
        <v>916</v>
      </c>
      <c r="O157" s="3">
        <f t="shared" si="4"/>
        <v>32693872</v>
      </c>
      <c r="P157" s="3">
        <f t="shared" si="5"/>
        <v>32533996</v>
      </c>
    </row>
    <row r="158" spans="1:16">
      <c r="A158">
        <v>2015</v>
      </c>
      <c r="B158" t="s">
        <v>48</v>
      </c>
      <c r="C158" t="s">
        <v>40</v>
      </c>
      <c r="D158" t="s">
        <v>27</v>
      </c>
      <c r="E158" t="s">
        <v>23</v>
      </c>
      <c r="F158" t="s">
        <v>33</v>
      </c>
      <c r="G158" s="3">
        <v>63926</v>
      </c>
      <c r="H158" s="3">
        <v>248153</v>
      </c>
      <c r="I158">
        <v>336</v>
      </c>
      <c r="J158" s="3">
        <v>0.97</v>
      </c>
      <c r="K158">
        <v>6.29</v>
      </c>
      <c r="L158">
        <v>1.2</v>
      </c>
      <c r="M158">
        <v>9</v>
      </c>
      <c r="N158">
        <v>882</v>
      </c>
      <c r="O158" s="3">
        <f t="shared" si="4"/>
        <v>56382732</v>
      </c>
      <c r="P158" s="3">
        <f t="shared" si="5"/>
        <v>56134579</v>
      </c>
    </row>
    <row r="159" spans="1:16">
      <c r="A159">
        <v>2017</v>
      </c>
      <c r="B159" t="s">
        <v>37</v>
      </c>
      <c r="C159" t="s">
        <v>26</v>
      </c>
      <c r="D159" t="s">
        <v>32</v>
      </c>
      <c r="E159" t="s">
        <v>19</v>
      </c>
      <c r="F159" t="s">
        <v>20</v>
      </c>
      <c r="G159" s="3">
        <v>108984</v>
      </c>
      <c r="H159" s="3">
        <v>210212</v>
      </c>
      <c r="I159">
        <v>241</v>
      </c>
      <c r="J159" s="3">
        <v>0.97</v>
      </c>
      <c r="K159">
        <v>6.29</v>
      </c>
      <c r="L159">
        <v>1.2</v>
      </c>
      <c r="M159">
        <v>8</v>
      </c>
      <c r="N159">
        <v>472</v>
      </c>
      <c r="O159" s="3">
        <f t="shared" si="4"/>
        <v>51440448</v>
      </c>
      <c r="P159" s="3">
        <f t="shared" si="5"/>
        <v>51230236</v>
      </c>
    </row>
    <row r="160" spans="1:16">
      <c r="A160">
        <v>2024</v>
      </c>
      <c r="B160" t="s">
        <v>50</v>
      </c>
      <c r="C160" t="s">
        <v>46</v>
      </c>
      <c r="D160" t="s">
        <v>41</v>
      </c>
      <c r="E160" t="s">
        <v>23</v>
      </c>
      <c r="F160" t="s">
        <v>28</v>
      </c>
      <c r="G160" s="3">
        <v>78390</v>
      </c>
      <c r="H160" s="3">
        <v>190399</v>
      </c>
      <c r="I160">
        <v>102</v>
      </c>
      <c r="J160" s="3">
        <v>0.97</v>
      </c>
      <c r="K160">
        <v>6.29</v>
      </c>
      <c r="L160">
        <v>1.2</v>
      </c>
      <c r="M160">
        <v>10</v>
      </c>
      <c r="N160">
        <v>448</v>
      </c>
      <c r="O160" s="3">
        <f t="shared" si="4"/>
        <v>35118720</v>
      </c>
      <c r="P160" s="3">
        <f t="shared" si="5"/>
        <v>34928321</v>
      </c>
    </row>
    <row r="161" spans="1:16">
      <c r="A161">
        <v>2022</v>
      </c>
      <c r="B161" t="s">
        <v>53</v>
      </c>
      <c r="C161" t="s">
        <v>40</v>
      </c>
      <c r="D161" t="s">
        <v>22</v>
      </c>
      <c r="E161" t="s">
        <v>23</v>
      </c>
      <c r="F161" t="s">
        <v>33</v>
      </c>
      <c r="G161" s="3">
        <v>84593</v>
      </c>
      <c r="H161" s="3">
        <v>73331</v>
      </c>
      <c r="I161">
        <v>345</v>
      </c>
      <c r="J161" s="3">
        <v>0.97</v>
      </c>
      <c r="K161">
        <v>6.29</v>
      </c>
      <c r="L161">
        <v>1.2</v>
      </c>
      <c r="M161">
        <v>9</v>
      </c>
      <c r="N161">
        <v>956</v>
      </c>
      <c r="O161" s="3">
        <f t="shared" si="4"/>
        <v>80870908</v>
      </c>
      <c r="P161" s="3">
        <f t="shared" si="5"/>
        <v>80797577</v>
      </c>
    </row>
    <row r="162" spans="1:16">
      <c r="A162">
        <v>2020</v>
      </c>
      <c r="B162" t="s">
        <v>50</v>
      </c>
      <c r="C162" t="s">
        <v>38</v>
      </c>
      <c r="D162" t="s">
        <v>27</v>
      </c>
      <c r="E162" t="s">
        <v>23</v>
      </c>
      <c r="F162" t="s">
        <v>33</v>
      </c>
      <c r="G162" s="3">
        <v>110609</v>
      </c>
      <c r="H162" s="3">
        <v>73004</v>
      </c>
      <c r="I162">
        <v>111</v>
      </c>
      <c r="J162" s="3">
        <v>0.97</v>
      </c>
      <c r="K162">
        <v>6.29</v>
      </c>
      <c r="L162">
        <v>1.2</v>
      </c>
      <c r="M162">
        <v>1</v>
      </c>
      <c r="N162">
        <v>628</v>
      </c>
      <c r="O162" s="3">
        <f t="shared" si="4"/>
        <v>69462452</v>
      </c>
      <c r="P162" s="3">
        <f t="shared" si="5"/>
        <v>69389448</v>
      </c>
    </row>
    <row r="163" spans="1:16">
      <c r="A163">
        <v>2022</v>
      </c>
      <c r="B163" t="s">
        <v>43</v>
      </c>
      <c r="C163" t="s">
        <v>51</v>
      </c>
      <c r="D163" t="s">
        <v>39</v>
      </c>
      <c r="E163" t="s">
        <v>23</v>
      </c>
      <c r="F163" t="s">
        <v>33</v>
      </c>
      <c r="G163" s="3">
        <v>40209</v>
      </c>
      <c r="H163" s="3">
        <v>288441</v>
      </c>
      <c r="I163">
        <v>175</v>
      </c>
      <c r="J163" s="3">
        <v>0.97</v>
      </c>
      <c r="K163">
        <v>6.29</v>
      </c>
      <c r="L163">
        <v>1.2</v>
      </c>
      <c r="M163">
        <v>9</v>
      </c>
      <c r="N163">
        <v>806</v>
      </c>
      <c r="O163" s="3">
        <f t="shared" si="4"/>
        <v>32408454</v>
      </c>
      <c r="P163" s="3">
        <f t="shared" si="5"/>
        <v>32120013</v>
      </c>
    </row>
    <row r="164" spans="1:16">
      <c r="A164">
        <v>2023</v>
      </c>
      <c r="B164" t="s">
        <v>50</v>
      </c>
      <c r="C164" t="s">
        <v>44</v>
      </c>
      <c r="D164" t="s">
        <v>30</v>
      </c>
      <c r="E164" t="s">
        <v>23</v>
      </c>
      <c r="F164" t="s">
        <v>24</v>
      </c>
      <c r="G164" s="3">
        <v>41533</v>
      </c>
      <c r="H164" s="3">
        <v>431387</v>
      </c>
      <c r="I164">
        <v>168</v>
      </c>
      <c r="J164" s="3">
        <v>0.97</v>
      </c>
      <c r="K164">
        <v>6.29</v>
      </c>
      <c r="L164">
        <v>1.2</v>
      </c>
      <c r="M164">
        <v>3</v>
      </c>
      <c r="N164">
        <v>465</v>
      </c>
      <c r="O164" s="3">
        <f t="shared" si="4"/>
        <v>19312845</v>
      </c>
      <c r="P164" s="3">
        <f t="shared" si="5"/>
        <v>18881458</v>
      </c>
    </row>
    <row r="165" spans="1:16">
      <c r="A165">
        <v>2018</v>
      </c>
      <c r="B165" t="s">
        <v>16</v>
      </c>
      <c r="C165" t="s">
        <v>31</v>
      </c>
      <c r="D165" t="s">
        <v>41</v>
      </c>
      <c r="E165" t="s">
        <v>23</v>
      </c>
      <c r="F165" t="s">
        <v>28</v>
      </c>
      <c r="G165" s="3">
        <v>42211</v>
      </c>
      <c r="H165" s="3">
        <v>453708</v>
      </c>
      <c r="I165">
        <v>23</v>
      </c>
      <c r="J165" s="3">
        <v>0.97</v>
      </c>
      <c r="K165">
        <v>6.29</v>
      </c>
      <c r="L165">
        <v>1.2</v>
      </c>
      <c r="M165">
        <v>10</v>
      </c>
      <c r="N165">
        <v>121</v>
      </c>
      <c r="O165" s="3">
        <f t="shared" si="4"/>
        <v>5107531</v>
      </c>
      <c r="P165" s="3">
        <f t="shared" si="5"/>
        <v>4653823</v>
      </c>
    </row>
    <row r="166" spans="1:16">
      <c r="A166">
        <v>2015</v>
      </c>
      <c r="B166" t="s">
        <v>50</v>
      </c>
      <c r="C166" t="s">
        <v>31</v>
      </c>
      <c r="D166" t="s">
        <v>39</v>
      </c>
      <c r="E166" t="s">
        <v>23</v>
      </c>
      <c r="F166" t="s">
        <v>33</v>
      </c>
      <c r="G166" s="3">
        <v>44927</v>
      </c>
      <c r="H166" s="3">
        <v>498013</v>
      </c>
      <c r="I166">
        <v>382</v>
      </c>
      <c r="J166" s="3">
        <v>0.97</v>
      </c>
      <c r="K166">
        <v>6.29</v>
      </c>
      <c r="L166">
        <v>1.2</v>
      </c>
      <c r="M166">
        <v>9</v>
      </c>
      <c r="N166">
        <v>923</v>
      </c>
      <c r="O166" s="3">
        <f t="shared" si="4"/>
        <v>41467621</v>
      </c>
      <c r="P166" s="3">
        <f t="shared" si="5"/>
        <v>40969608</v>
      </c>
    </row>
    <row r="167" spans="1:16">
      <c r="A167">
        <v>2015</v>
      </c>
      <c r="B167" t="s">
        <v>37</v>
      </c>
      <c r="C167" t="s">
        <v>31</v>
      </c>
      <c r="D167" t="s">
        <v>36</v>
      </c>
      <c r="E167" t="s">
        <v>19</v>
      </c>
      <c r="F167" t="s">
        <v>20</v>
      </c>
      <c r="G167" s="3">
        <v>112463</v>
      </c>
      <c r="H167" s="3">
        <v>239167</v>
      </c>
      <c r="I167">
        <v>234</v>
      </c>
      <c r="J167" s="3">
        <v>0.97</v>
      </c>
      <c r="K167">
        <v>6.29</v>
      </c>
      <c r="L167">
        <v>1.2</v>
      </c>
      <c r="M167">
        <v>1</v>
      </c>
      <c r="N167">
        <v>507</v>
      </c>
      <c r="O167" s="3">
        <f t="shared" si="4"/>
        <v>57018741</v>
      </c>
      <c r="P167" s="3">
        <f t="shared" si="5"/>
        <v>56779574</v>
      </c>
    </row>
    <row r="168" spans="1:16">
      <c r="A168">
        <v>2024</v>
      </c>
      <c r="B168" t="s">
        <v>49</v>
      </c>
      <c r="C168" t="s">
        <v>45</v>
      </c>
      <c r="D168" t="s">
        <v>52</v>
      </c>
      <c r="E168" t="s">
        <v>19</v>
      </c>
      <c r="F168" t="s">
        <v>20</v>
      </c>
      <c r="G168" s="3">
        <v>59594</v>
      </c>
      <c r="H168" s="3">
        <v>456965</v>
      </c>
      <c r="I168">
        <v>82</v>
      </c>
      <c r="J168" s="3">
        <v>0.97</v>
      </c>
      <c r="K168">
        <v>6.29</v>
      </c>
      <c r="L168">
        <v>1.2</v>
      </c>
      <c r="M168">
        <v>1</v>
      </c>
      <c r="N168">
        <v>288</v>
      </c>
      <c r="O168" s="3">
        <f t="shared" si="4"/>
        <v>17163072</v>
      </c>
      <c r="P168" s="3">
        <f t="shared" si="5"/>
        <v>16706107</v>
      </c>
    </row>
    <row r="169" spans="1:16">
      <c r="A169">
        <v>2018</v>
      </c>
      <c r="B169" t="s">
        <v>49</v>
      </c>
      <c r="C169" t="s">
        <v>38</v>
      </c>
      <c r="D169" t="s">
        <v>42</v>
      </c>
      <c r="E169" t="s">
        <v>19</v>
      </c>
      <c r="F169" t="s">
        <v>24</v>
      </c>
      <c r="G169" s="3">
        <v>109852</v>
      </c>
      <c r="H169" s="3">
        <v>375361</v>
      </c>
      <c r="I169">
        <v>258</v>
      </c>
      <c r="J169" s="3">
        <v>0.97</v>
      </c>
      <c r="K169">
        <v>6.29</v>
      </c>
      <c r="L169">
        <v>1.2</v>
      </c>
      <c r="M169">
        <v>9</v>
      </c>
      <c r="N169">
        <v>519</v>
      </c>
      <c r="O169" s="3">
        <f t="shared" si="4"/>
        <v>57013188</v>
      </c>
      <c r="P169" s="3">
        <f t="shared" si="5"/>
        <v>56637827</v>
      </c>
    </row>
    <row r="170" spans="1:16">
      <c r="A170">
        <v>2021</v>
      </c>
      <c r="B170" t="s">
        <v>35</v>
      </c>
      <c r="C170" t="s">
        <v>51</v>
      </c>
      <c r="D170" t="s">
        <v>42</v>
      </c>
      <c r="E170" t="s">
        <v>19</v>
      </c>
      <c r="F170" t="s">
        <v>20</v>
      </c>
      <c r="G170" s="3">
        <v>112713</v>
      </c>
      <c r="H170" s="3">
        <v>139044</v>
      </c>
      <c r="I170">
        <v>100</v>
      </c>
      <c r="J170" s="3">
        <v>0.97</v>
      </c>
      <c r="K170">
        <v>6.29</v>
      </c>
      <c r="L170">
        <v>1.2</v>
      </c>
      <c r="M170">
        <v>6</v>
      </c>
      <c r="N170">
        <v>527</v>
      </c>
      <c r="O170" s="3">
        <f t="shared" si="4"/>
        <v>59399751</v>
      </c>
      <c r="P170" s="3">
        <f t="shared" si="5"/>
        <v>59260707</v>
      </c>
    </row>
    <row r="171" spans="1:16">
      <c r="A171">
        <v>2016</v>
      </c>
      <c r="B171" t="s">
        <v>25</v>
      </c>
      <c r="C171" t="s">
        <v>40</v>
      </c>
      <c r="D171" t="s">
        <v>39</v>
      </c>
      <c r="E171" t="s">
        <v>23</v>
      </c>
      <c r="F171" t="s">
        <v>33</v>
      </c>
      <c r="G171" s="3">
        <v>111382</v>
      </c>
      <c r="H171" s="3">
        <v>321189</v>
      </c>
      <c r="I171">
        <v>225</v>
      </c>
      <c r="J171" s="3">
        <v>0.97</v>
      </c>
      <c r="K171">
        <v>6.29</v>
      </c>
      <c r="L171">
        <v>1.2</v>
      </c>
      <c r="M171">
        <v>4</v>
      </c>
      <c r="N171">
        <v>883</v>
      </c>
      <c r="O171" s="3">
        <f t="shared" si="4"/>
        <v>98350306</v>
      </c>
      <c r="P171" s="3">
        <f t="shared" si="5"/>
        <v>98029117</v>
      </c>
    </row>
    <row r="172" spans="1:16">
      <c r="A172">
        <v>2017</v>
      </c>
      <c r="B172" t="s">
        <v>53</v>
      </c>
      <c r="C172" t="s">
        <v>45</v>
      </c>
      <c r="D172" t="s">
        <v>30</v>
      </c>
      <c r="E172" t="s">
        <v>23</v>
      </c>
      <c r="F172" t="s">
        <v>20</v>
      </c>
      <c r="G172" s="3">
        <v>42933</v>
      </c>
      <c r="H172" s="3">
        <v>332260</v>
      </c>
      <c r="I172">
        <v>99</v>
      </c>
      <c r="J172" s="3">
        <v>0.97</v>
      </c>
      <c r="K172">
        <v>6.29</v>
      </c>
      <c r="L172">
        <v>1.2</v>
      </c>
      <c r="M172">
        <v>7</v>
      </c>
      <c r="N172">
        <v>361</v>
      </c>
      <c r="O172" s="3">
        <f t="shared" si="4"/>
        <v>15498813</v>
      </c>
      <c r="P172" s="3">
        <f t="shared" si="5"/>
        <v>15166553</v>
      </c>
    </row>
    <row r="173" spans="1:16">
      <c r="A173">
        <v>2015</v>
      </c>
      <c r="B173" t="s">
        <v>53</v>
      </c>
      <c r="C173" t="s">
        <v>38</v>
      </c>
      <c r="D173" t="s">
        <v>36</v>
      </c>
      <c r="E173" t="s">
        <v>19</v>
      </c>
      <c r="F173" t="s">
        <v>33</v>
      </c>
      <c r="G173" s="3">
        <v>75696</v>
      </c>
      <c r="H173" s="3">
        <v>68667</v>
      </c>
      <c r="I173">
        <v>38</v>
      </c>
      <c r="J173" s="3">
        <v>0.97</v>
      </c>
      <c r="K173">
        <v>6.29</v>
      </c>
      <c r="L173">
        <v>1.2</v>
      </c>
      <c r="M173">
        <v>5</v>
      </c>
      <c r="N173">
        <v>388</v>
      </c>
      <c r="O173" s="3">
        <f t="shared" si="4"/>
        <v>29370048</v>
      </c>
      <c r="P173" s="3">
        <f t="shared" si="5"/>
        <v>29301381</v>
      </c>
    </row>
    <row r="174" spans="1:16">
      <c r="A174">
        <v>2019</v>
      </c>
      <c r="B174" t="s">
        <v>16</v>
      </c>
      <c r="C174" t="s">
        <v>44</v>
      </c>
      <c r="D174" t="s">
        <v>22</v>
      </c>
      <c r="E174" t="s">
        <v>23</v>
      </c>
      <c r="F174" t="s">
        <v>20</v>
      </c>
      <c r="G174" s="3">
        <v>100449</v>
      </c>
      <c r="H174" s="3">
        <v>387201</v>
      </c>
      <c r="I174">
        <v>314</v>
      </c>
      <c r="J174" s="3">
        <v>0.97</v>
      </c>
      <c r="K174">
        <v>6.29</v>
      </c>
      <c r="L174">
        <v>1.2</v>
      </c>
      <c r="M174">
        <v>10</v>
      </c>
      <c r="N174">
        <v>844</v>
      </c>
      <c r="O174" s="3">
        <f t="shared" si="4"/>
        <v>84778956</v>
      </c>
      <c r="P174" s="3">
        <f t="shared" si="5"/>
        <v>84391755</v>
      </c>
    </row>
    <row r="175" spans="1:16">
      <c r="A175">
        <v>2015</v>
      </c>
      <c r="B175" t="s">
        <v>37</v>
      </c>
      <c r="C175" t="s">
        <v>46</v>
      </c>
      <c r="D175" t="s">
        <v>30</v>
      </c>
      <c r="E175" t="s">
        <v>23</v>
      </c>
      <c r="F175" t="s">
        <v>28</v>
      </c>
      <c r="G175" s="3">
        <v>102616</v>
      </c>
      <c r="H175" s="3">
        <v>124205</v>
      </c>
      <c r="I175">
        <v>229</v>
      </c>
      <c r="J175" s="3">
        <v>0.97</v>
      </c>
      <c r="K175">
        <v>6.29</v>
      </c>
      <c r="L175">
        <v>1.2</v>
      </c>
      <c r="M175">
        <v>7</v>
      </c>
      <c r="N175">
        <v>687</v>
      </c>
      <c r="O175" s="3">
        <f t="shared" si="4"/>
        <v>70497192</v>
      </c>
      <c r="P175" s="3">
        <f t="shared" si="5"/>
        <v>70372987</v>
      </c>
    </row>
    <row r="176" spans="1:16">
      <c r="A176">
        <v>2022</v>
      </c>
      <c r="B176" t="s">
        <v>35</v>
      </c>
      <c r="C176" t="s">
        <v>51</v>
      </c>
      <c r="D176" t="s">
        <v>32</v>
      </c>
      <c r="E176" t="s">
        <v>19</v>
      </c>
      <c r="F176" t="s">
        <v>24</v>
      </c>
      <c r="G176" s="3">
        <v>41089</v>
      </c>
      <c r="H176" s="3">
        <v>77302</v>
      </c>
      <c r="I176">
        <v>337</v>
      </c>
      <c r="J176" s="3">
        <v>0.97</v>
      </c>
      <c r="K176">
        <v>6.29</v>
      </c>
      <c r="L176">
        <v>1.2</v>
      </c>
      <c r="M176">
        <v>8</v>
      </c>
      <c r="N176">
        <v>880</v>
      </c>
      <c r="O176" s="3">
        <f t="shared" si="4"/>
        <v>36158320</v>
      </c>
      <c r="P176" s="3">
        <f t="shared" si="5"/>
        <v>36081018</v>
      </c>
    </row>
    <row r="177" spans="1:16">
      <c r="A177">
        <v>2015</v>
      </c>
      <c r="B177" t="s">
        <v>29</v>
      </c>
      <c r="C177" t="s">
        <v>31</v>
      </c>
      <c r="D177" t="s">
        <v>42</v>
      </c>
      <c r="E177" t="s">
        <v>19</v>
      </c>
      <c r="F177" t="s">
        <v>24</v>
      </c>
      <c r="G177" s="3">
        <v>91548</v>
      </c>
      <c r="H177" s="3">
        <v>454499</v>
      </c>
      <c r="I177">
        <v>224</v>
      </c>
      <c r="J177" s="3">
        <v>0.97</v>
      </c>
      <c r="K177">
        <v>6.29</v>
      </c>
      <c r="L177">
        <v>1.2</v>
      </c>
      <c r="M177">
        <v>8</v>
      </c>
      <c r="N177">
        <v>887</v>
      </c>
      <c r="O177" s="3">
        <f t="shared" si="4"/>
        <v>81203076</v>
      </c>
      <c r="P177" s="3">
        <f t="shared" si="5"/>
        <v>80748577</v>
      </c>
    </row>
    <row r="178" spans="1:16">
      <c r="A178">
        <v>2015</v>
      </c>
      <c r="B178" t="s">
        <v>43</v>
      </c>
      <c r="C178" t="s">
        <v>26</v>
      </c>
      <c r="D178" t="s">
        <v>32</v>
      </c>
      <c r="E178" t="s">
        <v>19</v>
      </c>
      <c r="F178" t="s">
        <v>28</v>
      </c>
      <c r="G178" s="3">
        <v>61123</v>
      </c>
      <c r="H178" s="3">
        <v>212007</v>
      </c>
      <c r="I178">
        <v>230</v>
      </c>
      <c r="J178" s="3">
        <v>0.97</v>
      </c>
      <c r="K178">
        <v>6.29</v>
      </c>
      <c r="L178">
        <v>1.2</v>
      </c>
      <c r="M178">
        <v>1</v>
      </c>
      <c r="N178">
        <v>788</v>
      </c>
      <c r="O178" s="3">
        <f t="shared" si="4"/>
        <v>48164924</v>
      </c>
      <c r="P178" s="3">
        <f t="shared" si="5"/>
        <v>47952917</v>
      </c>
    </row>
    <row r="179" spans="1:16">
      <c r="A179">
        <v>2016</v>
      </c>
      <c r="B179" t="s">
        <v>53</v>
      </c>
      <c r="C179" t="s">
        <v>51</v>
      </c>
      <c r="D179" t="s">
        <v>27</v>
      </c>
      <c r="E179" t="s">
        <v>23</v>
      </c>
      <c r="F179" t="s">
        <v>28</v>
      </c>
      <c r="G179" s="3">
        <v>42797</v>
      </c>
      <c r="H179" s="3">
        <v>122534</v>
      </c>
      <c r="I179">
        <v>398</v>
      </c>
      <c r="J179" s="3">
        <v>0.97</v>
      </c>
      <c r="K179">
        <v>6.29</v>
      </c>
      <c r="L179">
        <v>1.2</v>
      </c>
      <c r="M179">
        <v>8</v>
      </c>
      <c r="N179">
        <v>1026</v>
      </c>
      <c r="O179" s="3">
        <f t="shared" si="4"/>
        <v>43909722</v>
      </c>
      <c r="P179" s="3">
        <f t="shared" si="5"/>
        <v>43787188</v>
      </c>
    </row>
    <row r="180" spans="1:16">
      <c r="A180">
        <v>2016</v>
      </c>
      <c r="B180" t="s">
        <v>49</v>
      </c>
      <c r="C180" t="s">
        <v>17</v>
      </c>
      <c r="D180" t="s">
        <v>18</v>
      </c>
      <c r="E180" t="s">
        <v>19</v>
      </c>
      <c r="F180" t="s">
        <v>24</v>
      </c>
      <c r="G180" s="3">
        <v>85013</v>
      </c>
      <c r="H180" s="3">
        <v>275414</v>
      </c>
      <c r="I180">
        <v>51</v>
      </c>
      <c r="J180" s="3">
        <v>0.97</v>
      </c>
      <c r="K180">
        <v>6.29</v>
      </c>
      <c r="L180">
        <v>1.2</v>
      </c>
      <c r="M180">
        <v>6</v>
      </c>
      <c r="N180">
        <v>347</v>
      </c>
      <c r="O180" s="3">
        <f t="shared" si="4"/>
        <v>29499511</v>
      </c>
      <c r="P180" s="3">
        <f t="shared" si="5"/>
        <v>29224097</v>
      </c>
    </row>
    <row r="181" spans="1:16">
      <c r="A181">
        <v>2020</v>
      </c>
      <c r="B181" t="s">
        <v>50</v>
      </c>
      <c r="C181" t="s">
        <v>38</v>
      </c>
      <c r="D181" t="s">
        <v>41</v>
      </c>
      <c r="E181" t="s">
        <v>23</v>
      </c>
      <c r="F181" t="s">
        <v>28</v>
      </c>
      <c r="G181" s="3">
        <v>43346</v>
      </c>
      <c r="H181" s="3">
        <v>212696</v>
      </c>
      <c r="I181">
        <v>144</v>
      </c>
      <c r="J181" s="3">
        <v>0.97</v>
      </c>
      <c r="K181">
        <v>6.29</v>
      </c>
      <c r="L181">
        <v>1.2</v>
      </c>
      <c r="M181">
        <v>4</v>
      </c>
      <c r="N181">
        <v>386</v>
      </c>
      <c r="O181" s="3">
        <f t="shared" si="4"/>
        <v>16731556</v>
      </c>
      <c r="P181" s="3">
        <f t="shared" si="5"/>
        <v>16518860</v>
      </c>
    </row>
    <row r="182" spans="1:16">
      <c r="A182">
        <v>2021</v>
      </c>
      <c r="B182" t="s">
        <v>50</v>
      </c>
      <c r="C182" t="s">
        <v>34</v>
      </c>
      <c r="D182" t="s">
        <v>36</v>
      </c>
      <c r="E182" t="s">
        <v>19</v>
      </c>
      <c r="F182" t="s">
        <v>33</v>
      </c>
      <c r="G182" s="3">
        <v>68672</v>
      </c>
      <c r="H182" s="3">
        <v>63440</v>
      </c>
      <c r="I182">
        <v>51</v>
      </c>
      <c r="J182" s="3">
        <v>0.97</v>
      </c>
      <c r="K182">
        <v>6.29</v>
      </c>
      <c r="L182">
        <v>1.2</v>
      </c>
      <c r="M182">
        <v>8</v>
      </c>
      <c r="N182">
        <v>187</v>
      </c>
      <c r="O182" s="3">
        <f t="shared" si="4"/>
        <v>12841664</v>
      </c>
      <c r="P182" s="3">
        <f t="shared" si="5"/>
        <v>12778224</v>
      </c>
    </row>
    <row r="183" spans="1:16">
      <c r="A183">
        <v>2019</v>
      </c>
      <c r="B183" t="s">
        <v>25</v>
      </c>
      <c r="C183" t="s">
        <v>44</v>
      </c>
      <c r="D183" t="s">
        <v>30</v>
      </c>
      <c r="E183" t="s">
        <v>23</v>
      </c>
      <c r="F183" t="s">
        <v>20</v>
      </c>
      <c r="G183" s="3">
        <v>52653</v>
      </c>
      <c r="H183" s="3">
        <v>423145</v>
      </c>
      <c r="I183">
        <v>173</v>
      </c>
      <c r="J183" s="3">
        <v>0.97</v>
      </c>
      <c r="K183">
        <v>6.29</v>
      </c>
      <c r="L183">
        <v>1.2</v>
      </c>
      <c r="M183">
        <v>3</v>
      </c>
      <c r="N183">
        <v>599</v>
      </c>
      <c r="O183" s="3">
        <f t="shared" si="4"/>
        <v>31539147</v>
      </c>
      <c r="P183" s="3">
        <f t="shared" si="5"/>
        <v>31116002</v>
      </c>
    </row>
    <row r="184" spans="1:16">
      <c r="A184">
        <v>2015</v>
      </c>
      <c r="B184" t="s">
        <v>35</v>
      </c>
      <c r="C184" t="s">
        <v>46</v>
      </c>
      <c r="D184" t="s">
        <v>42</v>
      </c>
      <c r="E184" t="s">
        <v>19</v>
      </c>
      <c r="F184" t="s">
        <v>24</v>
      </c>
      <c r="G184" s="3">
        <v>84556</v>
      </c>
      <c r="H184" s="3">
        <v>358645</v>
      </c>
      <c r="I184">
        <v>370</v>
      </c>
      <c r="J184" s="3">
        <v>0.97</v>
      </c>
      <c r="K184">
        <v>6.29</v>
      </c>
      <c r="L184">
        <v>1.2</v>
      </c>
      <c r="M184">
        <v>4</v>
      </c>
      <c r="N184">
        <v>815</v>
      </c>
      <c r="O184" s="3">
        <f t="shared" si="4"/>
        <v>68913140</v>
      </c>
      <c r="P184" s="3">
        <f t="shared" si="5"/>
        <v>68554495</v>
      </c>
    </row>
    <row r="185" spans="1:16">
      <c r="A185">
        <v>2015</v>
      </c>
      <c r="B185" t="s">
        <v>37</v>
      </c>
      <c r="C185" t="s">
        <v>44</v>
      </c>
      <c r="D185" t="s">
        <v>32</v>
      </c>
      <c r="E185" t="s">
        <v>19</v>
      </c>
      <c r="F185" t="s">
        <v>28</v>
      </c>
      <c r="G185" s="3">
        <v>61140</v>
      </c>
      <c r="H185" s="3">
        <v>444485</v>
      </c>
      <c r="I185">
        <v>292</v>
      </c>
      <c r="J185" s="3">
        <v>0.97</v>
      </c>
      <c r="K185">
        <v>6.29</v>
      </c>
      <c r="L185">
        <v>1.2</v>
      </c>
      <c r="M185">
        <v>6</v>
      </c>
      <c r="N185">
        <v>1044</v>
      </c>
      <c r="O185" s="3">
        <f t="shared" si="4"/>
        <v>63830160</v>
      </c>
      <c r="P185" s="3">
        <f t="shared" si="5"/>
        <v>63385675</v>
      </c>
    </row>
    <row r="186" spans="1:16">
      <c r="A186">
        <v>2017</v>
      </c>
      <c r="B186" t="s">
        <v>37</v>
      </c>
      <c r="C186" t="s">
        <v>51</v>
      </c>
      <c r="D186" t="s">
        <v>52</v>
      </c>
      <c r="E186" t="s">
        <v>19</v>
      </c>
      <c r="F186" t="s">
        <v>33</v>
      </c>
      <c r="G186" s="3">
        <v>36184</v>
      </c>
      <c r="H186" s="3">
        <v>320012</v>
      </c>
      <c r="I186">
        <v>67</v>
      </c>
      <c r="J186" s="3">
        <v>0.97</v>
      </c>
      <c r="K186">
        <v>6.29</v>
      </c>
      <c r="L186">
        <v>1.2</v>
      </c>
      <c r="M186">
        <v>7</v>
      </c>
      <c r="N186">
        <v>536</v>
      </c>
      <c r="O186" s="3">
        <f t="shared" si="4"/>
        <v>19394624</v>
      </c>
      <c r="P186" s="3">
        <f t="shared" si="5"/>
        <v>19074612</v>
      </c>
    </row>
    <row r="187" spans="1:16">
      <c r="A187">
        <v>2016</v>
      </c>
      <c r="B187" t="s">
        <v>48</v>
      </c>
      <c r="C187" t="s">
        <v>34</v>
      </c>
      <c r="D187" t="s">
        <v>27</v>
      </c>
      <c r="E187" t="s">
        <v>23</v>
      </c>
      <c r="F187" t="s">
        <v>24</v>
      </c>
      <c r="G187" s="3">
        <v>69493</v>
      </c>
      <c r="H187" s="3">
        <v>211323</v>
      </c>
      <c r="I187">
        <v>311</v>
      </c>
      <c r="J187" s="3">
        <v>0.97</v>
      </c>
      <c r="K187">
        <v>6.29</v>
      </c>
      <c r="L187">
        <v>1.2</v>
      </c>
      <c r="M187">
        <v>4</v>
      </c>
      <c r="N187">
        <v>967</v>
      </c>
      <c r="O187" s="3">
        <f t="shared" si="4"/>
        <v>67199731</v>
      </c>
      <c r="P187" s="3">
        <f t="shared" si="5"/>
        <v>66988408</v>
      </c>
    </row>
    <row r="188" spans="1:16">
      <c r="A188">
        <v>2019</v>
      </c>
      <c r="B188" t="s">
        <v>47</v>
      </c>
      <c r="C188" t="s">
        <v>17</v>
      </c>
      <c r="D188" t="s">
        <v>41</v>
      </c>
      <c r="E188" t="s">
        <v>23</v>
      </c>
      <c r="F188" t="s">
        <v>28</v>
      </c>
      <c r="G188" s="3">
        <v>79148</v>
      </c>
      <c r="H188" s="3">
        <v>390053</v>
      </c>
      <c r="I188">
        <v>331</v>
      </c>
      <c r="J188" s="3">
        <v>0.97</v>
      </c>
      <c r="K188">
        <v>6.29</v>
      </c>
      <c r="L188">
        <v>1.2</v>
      </c>
      <c r="M188">
        <v>4</v>
      </c>
      <c r="N188">
        <v>744</v>
      </c>
      <c r="O188" s="3">
        <f t="shared" si="4"/>
        <v>58886112</v>
      </c>
      <c r="P188" s="3">
        <f t="shared" si="5"/>
        <v>58496059</v>
      </c>
    </row>
    <row r="189" spans="1:16">
      <c r="A189">
        <v>2024</v>
      </c>
      <c r="B189" t="s">
        <v>53</v>
      </c>
      <c r="C189" t="s">
        <v>40</v>
      </c>
      <c r="D189" t="s">
        <v>41</v>
      </c>
      <c r="E189" t="s">
        <v>23</v>
      </c>
      <c r="F189" t="s">
        <v>24</v>
      </c>
      <c r="G189" s="3">
        <v>59846</v>
      </c>
      <c r="H189" s="3">
        <v>134523</v>
      </c>
      <c r="I189">
        <v>34</v>
      </c>
      <c r="J189" s="3">
        <v>0.97</v>
      </c>
      <c r="K189">
        <v>6.29</v>
      </c>
      <c r="L189">
        <v>1.2</v>
      </c>
      <c r="M189">
        <v>7</v>
      </c>
      <c r="N189">
        <v>341</v>
      </c>
      <c r="O189" s="3">
        <f t="shared" si="4"/>
        <v>20407486</v>
      </c>
      <c r="P189" s="3">
        <f t="shared" si="5"/>
        <v>20272963</v>
      </c>
    </row>
    <row r="190" spans="1:16">
      <c r="A190">
        <v>2020</v>
      </c>
      <c r="B190" t="s">
        <v>37</v>
      </c>
      <c r="C190" t="s">
        <v>26</v>
      </c>
      <c r="D190" t="s">
        <v>30</v>
      </c>
      <c r="E190" t="s">
        <v>23</v>
      </c>
      <c r="F190" t="s">
        <v>28</v>
      </c>
      <c r="G190" s="3">
        <v>57195</v>
      </c>
      <c r="H190" s="3">
        <v>219801</v>
      </c>
      <c r="I190">
        <v>82</v>
      </c>
      <c r="J190" s="3">
        <v>0.97</v>
      </c>
      <c r="K190">
        <v>6.29</v>
      </c>
      <c r="L190">
        <v>1.2</v>
      </c>
      <c r="M190">
        <v>6</v>
      </c>
      <c r="N190">
        <v>511</v>
      </c>
      <c r="O190" s="3">
        <f t="shared" si="4"/>
        <v>29226645</v>
      </c>
      <c r="P190" s="3">
        <f t="shared" si="5"/>
        <v>29006844</v>
      </c>
    </row>
    <row r="191" spans="1:16">
      <c r="A191">
        <v>2021</v>
      </c>
      <c r="B191" t="s">
        <v>25</v>
      </c>
      <c r="C191" t="s">
        <v>34</v>
      </c>
      <c r="D191" t="s">
        <v>36</v>
      </c>
      <c r="E191" t="s">
        <v>19</v>
      </c>
      <c r="F191" t="s">
        <v>24</v>
      </c>
      <c r="G191" s="3">
        <v>40606</v>
      </c>
      <c r="H191" s="3">
        <v>65734</v>
      </c>
      <c r="I191">
        <v>382</v>
      </c>
      <c r="J191" s="3">
        <v>0.97</v>
      </c>
      <c r="K191">
        <v>6.29</v>
      </c>
      <c r="L191">
        <v>1.2</v>
      </c>
      <c r="M191">
        <v>8</v>
      </c>
      <c r="N191">
        <v>790</v>
      </c>
      <c r="O191" s="3">
        <f t="shared" si="4"/>
        <v>32078740</v>
      </c>
      <c r="P191" s="3">
        <f t="shared" si="5"/>
        <v>32013006</v>
      </c>
    </row>
    <row r="192" spans="1:16">
      <c r="A192">
        <v>2018</v>
      </c>
      <c r="B192" t="s">
        <v>49</v>
      </c>
      <c r="C192" t="s">
        <v>38</v>
      </c>
      <c r="D192" t="s">
        <v>22</v>
      </c>
      <c r="E192" t="s">
        <v>23</v>
      </c>
      <c r="F192" t="s">
        <v>33</v>
      </c>
      <c r="G192" s="3">
        <v>38956</v>
      </c>
      <c r="H192" s="3">
        <v>223501</v>
      </c>
      <c r="I192">
        <v>138</v>
      </c>
      <c r="J192" s="3">
        <v>0.97</v>
      </c>
      <c r="K192">
        <v>6.29</v>
      </c>
      <c r="L192">
        <v>1.2</v>
      </c>
      <c r="M192">
        <v>1</v>
      </c>
      <c r="N192">
        <v>457</v>
      </c>
      <c r="O192" s="3">
        <f t="shared" si="4"/>
        <v>17802892</v>
      </c>
      <c r="P192" s="3">
        <f t="shared" si="5"/>
        <v>17579391</v>
      </c>
    </row>
    <row r="193" spans="1:16">
      <c r="A193">
        <v>2021</v>
      </c>
      <c r="B193" t="s">
        <v>35</v>
      </c>
      <c r="C193" t="s">
        <v>31</v>
      </c>
      <c r="D193" t="s">
        <v>52</v>
      </c>
      <c r="E193" t="s">
        <v>19</v>
      </c>
      <c r="F193" t="s">
        <v>33</v>
      </c>
      <c r="G193" s="3">
        <v>51555</v>
      </c>
      <c r="H193" s="3">
        <v>222409</v>
      </c>
      <c r="I193">
        <v>96</v>
      </c>
      <c r="J193" s="3">
        <v>0.97</v>
      </c>
      <c r="K193">
        <v>6.29</v>
      </c>
      <c r="L193">
        <v>1.2</v>
      </c>
      <c r="M193">
        <v>10</v>
      </c>
      <c r="N193">
        <v>245</v>
      </c>
      <c r="O193" s="3">
        <f t="shared" si="4"/>
        <v>12630975</v>
      </c>
      <c r="P193" s="3">
        <f t="shared" si="5"/>
        <v>12408566</v>
      </c>
    </row>
    <row r="194" spans="1:16">
      <c r="A194">
        <v>2022</v>
      </c>
      <c r="B194" t="s">
        <v>43</v>
      </c>
      <c r="C194" t="s">
        <v>17</v>
      </c>
      <c r="D194" t="s">
        <v>30</v>
      </c>
      <c r="E194" t="s">
        <v>23</v>
      </c>
      <c r="F194" t="s">
        <v>20</v>
      </c>
      <c r="G194" s="3">
        <v>53690</v>
      </c>
      <c r="H194" s="3">
        <v>483541</v>
      </c>
      <c r="I194">
        <v>339</v>
      </c>
      <c r="J194" s="3">
        <v>0.97</v>
      </c>
      <c r="K194">
        <v>6.29</v>
      </c>
      <c r="L194">
        <v>1.2</v>
      </c>
      <c r="M194">
        <v>7</v>
      </c>
      <c r="N194">
        <v>818</v>
      </c>
      <c r="O194" s="3">
        <f t="shared" si="4"/>
        <v>43918420</v>
      </c>
      <c r="P194" s="3">
        <f t="shared" si="5"/>
        <v>43434879</v>
      </c>
    </row>
    <row r="195" spans="1:16">
      <c r="A195">
        <v>2015</v>
      </c>
      <c r="B195" t="s">
        <v>48</v>
      </c>
      <c r="C195" t="s">
        <v>26</v>
      </c>
      <c r="D195" t="s">
        <v>32</v>
      </c>
      <c r="E195" t="s">
        <v>19</v>
      </c>
      <c r="F195" t="s">
        <v>24</v>
      </c>
      <c r="G195" s="3">
        <v>93502</v>
      </c>
      <c r="H195" s="3">
        <v>395744</v>
      </c>
      <c r="I195">
        <v>162</v>
      </c>
      <c r="J195" s="3">
        <v>0.97</v>
      </c>
      <c r="K195">
        <v>6.29</v>
      </c>
      <c r="L195">
        <v>1.2</v>
      </c>
      <c r="M195">
        <v>7</v>
      </c>
      <c r="N195">
        <v>596</v>
      </c>
      <c r="O195" s="3">
        <f t="shared" ref="O195:O258" si="6">N195*G195</f>
        <v>55727192</v>
      </c>
      <c r="P195" s="3">
        <f t="shared" ref="P195:P258" si="7">O195-H195</f>
        <v>55331448</v>
      </c>
    </row>
    <row r="196" spans="1:16">
      <c r="A196">
        <v>2020</v>
      </c>
      <c r="B196" t="s">
        <v>25</v>
      </c>
      <c r="C196" t="s">
        <v>46</v>
      </c>
      <c r="D196" t="s">
        <v>18</v>
      </c>
      <c r="E196" t="s">
        <v>19</v>
      </c>
      <c r="F196" t="s">
        <v>20</v>
      </c>
      <c r="G196" s="3">
        <v>83849</v>
      </c>
      <c r="H196" s="3">
        <v>320577</v>
      </c>
      <c r="I196">
        <v>191</v>
      </c>
      <c r="J196" s="3">
        <v>0.97</v>
      </c>
      <c r="K196">
        <v>6.29</v>
      </c>
      <c r="L196">
        <v>1.2</v>
      </c>
      <c r="M196">
        <v>7</v>
      </c>
      <c r="N196">
        <v>396</v>
      </c>
      <c r="O196" s="3">
        <f t="shared" si="6"/>
        <v>33204204</v>
      </c>
      <c r="P196" s="3">
        <f t="shared" si="7"/>
        <v>32883627</v>
      </c>
    </row>
    <row r="197" spans="1:16">
      <c r="A197">
        <v>2022</v>
      </c>
      <c r="B197" t="s">
        <v>21</v>
      </c>
      <c r="C197" t="s">
        <v>31</v>
      </c>
      <c r="D197" t="s">
        <v>39</v>
      </c>
      <c r="E197" t="s">
        <v>23</v>
      </c>
      <c r="F197" t="s">
        <v>24</v>
      </c>
      <c r="G197" s="3">
        <v>61347</v>
      </c>
      <c r="H197" s="3">
        <v>190183</v>
      </c>
      <c r="I197">
        <v>134</v>
      </c>
      <c r="J197" s="3">
        <v>0.97</v>
      </c>
      <c r="K197">
        <v>6.29</v>
      </c>
      <c r="L197">
        <v>1.2</v>
      </c>
      <c r="M197">
        <v>7</v>
      </c>
      <c r="N197">
        <v>523</v>
      </c>
      <c r="O197" s="3">
        <f t="shared" si="6"/>
        <v>32084481</v>
      </c>
      <c r="P197" s="3">
        <f t="shared" si="7"/>
        <v>31894298</v>
      </c>
    </row>
    <row r="198" spans="1:16">
      <c r="A198">
        <v>2019</v>
      </c>
      <c r="B198" t="s">
        <v>16</v>
      </c>
      <c r="C198" t="s">
        <v>51</v>
      </c>
      <c r="D198" t="s">
        <v>22</v>
      </c>
      <c r="E198" t="s">
        <v>23</v>
      </c>
      <c r="F198" t="s">
        <v>28</v>
      </c>
      <c r="G198" s="3">
        <v>84056</v>
      </c>
      <c r="H198" s="3">
        <v>153986</v>
      </c>
      <c r="I198">
        <v>76</v>
      </c>
      <c r="J198" s="3">
        <v>0.97</v>
      </c>
      <c r="K198">
        <v>6.29</v>
      </c>
      <c r="L198">
        <v>1.2</v>
      </c>
      <c r="M198">
        <v>10</v>
      </c>
      <c r="N198">
        <v>419</v>
      </c>
      <c r="O198" s="3">
        <f t="shared" si="6"/>
        <v>35219464</v>
      </c>
      <c r="P198" s="3">
        <f t="shared" si="7"/>
        <v>35065478</v>
      </c>
    </row>
    <row r="199" spans="1:16">
      <c r="A199">
        <v>2018</v>
      </c>
      <c r="B199" t="s">
        <v>43</v>
      </c>
      <c r="C199" t="s">
        <v>34</v>
      </c>
      <c r="D199" t="s">
        <v>36</v>
      </c>
      <c r="E199" t="s">
        <v>19</v>
      </c>
      <c r="F199" t="s">
        <v>28</v>
      </c>
      <c r="G199" s="3">
        <v>98851</v>
      </c>
      <c r="H199" s="3">
        <v>375897</v>
      </c>
      <c r="I199">
        <v>15</v>
      </c>
      <c r="J199" s="3">
        <v>0.97</v>
      </c>
      <c r="K199">
        <v>6.29</v>
      </c>
      <c r="L199">
        <v>1.2</v>
      </c>
      <c r="M199">
        <v>10</v>
      </c>
      <c r="N199">
        <v>173</v>
      </c>
      <c r="O199" s="3">
        <f t="shared" si="6"/>
        <v>17101223</v>
      </c>
      <c r="P199" s="3">
        <f t="shared" si="7"/>
        <v>16725326</v>
      </c>
    </row>
    <row r="200" spans="1:16">
      <c r="A200">
        <v>2016</v>
      </c>
      <c r="B200" t="s">
        <v>21</v>
      </c>
      <c r="C200" t="s">
        <v>26</v>
      </c>
      <c r="D200" t="s">
        <v>27</v>
      </c>
      <c r="E200" t="s">
        <v>23</v>
      </c>
      <c r="F200" t="s">
        <v>20</v>
      </c>
      <c r="G200" s="3">
        <v>116502</v>
      </c>
      <c r="H200" s="3">
        <v>163783</v>
      </c>
      <c r="I200">
        <v>134</v>
      </c>
      <c r="J200" s="3">
        <v>0.97</v>
      </c>
      <c r="K200">
        <v>6.29</v>
      </c>
      <c r="L200">
        <v>1.2</v>
      </c>
      <c r="M200">
        <v>8</v>
      </c>
      <c r="N200">
        <v>393</v>
      </c>
      <c r="O200" s="3">
        <f t="shared" si="6"/>
        <v>45785286</v>
      </c>
      <c r="P200" s="3">
        <f t="shared" si="7"/>
        <v>45621503</v>
      </c>
    </row>
    <row r="201" spans="1:16">
      <c r="A201">
        <v>2020</v>
      </c>
      <c r="B201" t="s">
        <v>29</v>
      </c>
      <c r="C201" t="s">
        <v>45</v>
      </c>
      <c r="D201" t="s">
        <v>22</v>
      </c>
      <c r="E201" t="s">
        <v>23</v>
      </c>
      <c r="F201" t="s">
        <v>24</v>
      </c>
      <c r="G201" s="3">
        <v>116418</v>
      </c>
      <c r="H201" s="3">
        <v>261655</v>
      </c>
      <c r="I201">
        <v>323</v>
      </c>
      <c r="J201" s="3">
        <v>0.97</v>
      </c>
      <c r="K201">
        <v>6.29</v>
      </c>
      <c r="L201">
        <v>1.2</v>
      </c>
      <c r="M201">
        <v>9</v>
      </c>
      <c r="N201">
        <v>654</v>
      </c>
      <c r="O201" s="3">
        <f t="shared" si="6"/>
        <v>76137372</v>
      </c>
      <c r="P201" s="3">
        <f t="shared" si="7"/>
        <v>75875717</v>
      </c>
    </row>
    <row r="202" spans="1:16">
      <c r="A202">
        <v>2020</v>
      </c>
      <c r="B202" t="s">
        <v>50</v>
      </c>
      <c r="C202" t="s">
        <v>40</v>
      </c>
      <c r="D202" t="s">
        <v>42</v>
      </c>
      <c r="E202" t="s">
        <v>19</v>
      </c>
      <c r="F202" t="s">
        <v>20</v>
      </c>
      <c r="G202" s="3">
        <v>105211</v>
      </c>
      <c r="H202" s="3">
        <v>333895</v>
      </c>
      <c r="I202">
        <v>335</v>
      </c>
      <c r="J202" s="3">
        <v>0.97</v>
      </c>
      <c r="K202">
        <v>6.29</v>
      </c>
      <c r="L202">
        <v>1.2</v>
      </c>
      <c r="M202">
        <v>9</v>
      </c>
      <c r="N202">
        <v>773</v>
      </c>
      <c r="O202" s="3">
        <f t="shared" si="6"/>
        <v>81328103</v>
      </c>
      <c r="P202" s="3">
        <f t="shared" si="7"/>
        <v>80994208</v>
      </c>
    </row>
    <row r="203" spans="1:16">
      <c r="A203">
        <v>2015</v>
      </c>
      <c r="B203" t="s">
        <v>16</v>
      </c>
      <c r="C203" t="s">
        <v>40</v>
      </c>
      <c r="D203" t="s">
        <v>36</v>
      </c>
      <c r="E203" t="s">
        <v>19</v>
      </c>
      <c r="F203" t="s">
        <v>33</v>
      </c>
      <c r="G203" s="3">
        <v>76850</v>
      </c>
      <c r="H203" s="3">
        <v>197525</v>
      </c>
      <c r="I203">
        <v>62</v>
      </c>
      <c r="J203" s="3">
        <v>0.97</v>
      </c>
      <c r="K203">
        <v>6.29</v>
      </c>
      <c r="L203">
        <v>1.2</v>
      </c>
      <c r="M203">
        <v>2</v>
      </c>
      <c r="N203">
        <v>211</v>
      </c>
      <c r="O203" s="3">
        <f t="shared" si="6"/>
        <v>16215350</v>
      </c>
      <c r="P203" s="3">
        <f t="shared" si="7"/>
        <v>16017825</v>
      </c>
    </row>
    <row r="204" spans="1:16">
      <c r="A204">
        <v>2023</v>
      </c>
      <c r="B204" t="s">
        <v>53</v>
      </c>
      <c r="C204" t="s">
        <v>17</v>
      </c>
      <c r="D204" t="s">
        <v>18</v>
      </c>
      <c r="E204" t="s">
        <v>19</v>
      </c>
      <c r="F204" t="s">
        <v>20</v>
      </c>
      <c r="G204" s="3">
        <v>113545</v>
      </c>
      <c r="H204" s="3">
        <v>266916</v>
      </c>
      <c r="I204">
        <v>75</v>
      </c>
      <c r="J204" s="3">
        <v>0.97</v>
      </c>
      <c r="K204">
        <v>6.29</v>
      </c>
      <c r="L204">
        <v>1.2</v>
      </c>
      <c r="M204">
        <v>7</v>
      </c>
      <c r="N204">
        <v>375</v>
      </c>
      <c r="O204" s="3">
        <f t="shared" si="6"/>
        <v>42579375</v>
      </c>
      <c r="P204" s="3">
        <f t="shared" si="7"/>
        <v>42312459</v>
      </c>
    </row>
    <row r="205" spans="1:16">
      <c r="A205">
        <v>2020</v>
      </c>
      <c r="B205" t="s">
        <v>49</v>
      </c>
      <c r="C205" t="s">
        <v>46</v>
      </c>
      <c r="D205" t="s">
        <v>42</v>
      </c>
      <c r="E205" t="s">
        <v>19</v>
      </c>
      <c r="F205" t="s">
        <v>20</v>
      </c>
      <c r="G205" s="3">
        <v>62843</v>
      </c>
      <c r="H205" s="3">
        <v>482184</v>
      </c>
      <c r="I205">
        <v>323</v>
      </c>
      <c r="J205" s="3">
        <v>0.97</v>
      </c>
      <c r="K205">
        <v>6.29</v>
      </c>
      <c r="L205">
        <v>1.2</v>
      </c>
      <c r="M205">
        <v>7</v>
      </c>
      <c r="N205">
        <v>975</v>
      </c>
      <c r="O205" s="3">
        <f t="shared" si="6"/>
        <v>61271925</v>
      </c>
      <c r="P205" s="3">
        <f t="shared" si="7"/>
        <v>60789741</v>
      </c>
    </row>
    <row r="206" spans="1:16">
      <c r="A206">
        <v>2017</v>
      </c>
      <c r="B206" t="s">
        <v>16</v>
      </c>
      <c r="C206" t="s">
        <v>17</v>
      </c>
      <c r="D206" t="s">
        <v>22</v>
      </c>
      <c r="E206" t="s">
        <v>23</v>
      </c>
      <c r="F206" t="s">
        <v>28</v>
      </c>
      <c r="G206" s="3">
        <v>97320</v>
      </c>
      <c r="H206" s="3">
        <v>211149</v>
      </c>
      <c r="I206">
        <v>91</v>
      </c>
      <c r="J206" s="3">
        <v>0.97</v>
      </c>
      <c r="K206">
        <v>6.29</v>
      </c>
      <c r="L206">
        <v>1.2</v>
      </c>
      <c r="M206">
        <v>4</v>
      </c>
      <c r="N206">
        <v>396</v>
      </c>
      <c r="O206" s="3">
        <f t="shared" si="6"/>
        <v>38538720</v>
      </c>
      <c r="P206" s="3">
        <f t="shared" si="7"/>
        <v>38327571</v>
      </c>
    </row>
    <row r="207" spans="1:16">
      <c r="A207">
        <v>2018</v>
      </c>
      <c r="B207" t="s">
        <v>47</v>
      </c>
      <c r="C207" t="s">
        <v>45</v>
      </c>
      <c r="D207" t="s">
        <v>39</v>
      </c>
      <c r="E207" t="s">
        <v>23</v>
      </c>
      <c r="F207" t="s">
        <v>20</v>
      </c>
      <c r="G207" s="3">
        <v>64793</v>
      </c>
      <c r="H207" s="3">
        <v>289654</v>
      </c>
      <c r="I207">
        <v>96</v>
      </c>
      <c r="J207" s="3">
        <v>0.97</v>
      </c>
      <c r="K207">
        <v>6.29</v>
      </c>
      <c r="L207">
        <v>1.2</v>
      </c>
      <c r="M207">
        <v>9</v>
      </c>
      <c r="N207">
        <v>500</v>
      </c>
      <c r="O207" s="3">
        <f t="shared" si="6"/>
        <v>32396500</v>
      </c>
      <c r="P207" s="3">
        <f t="shared" si="7"/>
        <v>32106846</v>
      </c>
    </row>
    <row r="208" spans="1:16">
      <c r="A208">
        <v>2018</v>
      </c>
      <c r="B208" t="s">
        <v>21</v>
      </c>
      <c r="C208" t="s">
        <v>38</v>
      </c>
      <c r="D208" t="s">
        <v>39</v>
      </c>
      <c r="E208" t="s">
        <v>23</v>
      </c>
      <c r="F208" t="s">
        <v>24</v>
      </c>
      <c r="G208" s="3">
        <v>74516</v>
      </c>
      <c r="H208" s="3">
        <v>477991</v>
      </c>
      <c r="I208">
        <v>11</v>
      </c>
      <c r="J208" s="3">
        <v>0.97</v>
      </c>
      <c r="K208">
        <v>6.29</v>
      </c>
      <c r="L208">
        <v>1.2</v>
      </c>
      <c r="M208">
        <v>8</v>
      </c>
      <c r="N208">
        <v>142</v>
      </c>
      <c r="O208" s="3">
        <f t="shared" si="6"/>
        <v>10581272</v>
      </c>
      <c r="P208" s="3">
        <f t="shared" si="7"/>
        <v>10103281</v>
      </c>
    </row>
    <row r="209" spans="1:16">
      <c r="A209">
        <v>2017</v>
      </c>
      <c r="B209" t="s">
        <v>53</v>
      </c>
      <c r="C209" t="s">
        <v>46</v>
      </c>
      <c r="D209" t="s">
        <v>18</v>
      </c>
      <c r="E209" t="s">
        <v>19</v>
      </c>
      <c r="F209" t="s">
        <v>28</v>
      </c>
      <c r="G209" s="3">
        <v>52857</v>
      </c>
      <c r="H209" s="3">
        <v>239216</v>
      </c>
      <c r="I209">
        <v>213</v>
      </c>
      <c r="J209" s="3">
        <v>0.97</v>
      </c>
      <c r="K209">
        <v>6.29</v>
      </c>
      <c r="L209">
        <v>1.2</v>
      </c>
      <c r="M209">
        <v>1</v>
      </c>
      <c r="N209">
        <v>523</v>
      </c>
      <c r="O209" s="3">
        <f t="shared" si="6"/>
        <v>27644211</v>
      </c>
      <c r="P209" s="3">
        <f t="shared" si="7"/>
        <v>27404995</v>
      </c>
    </row>
    <row r="210" spans="1:16">
      <c r="A210">
        <v>2024</v>
      </c>
      <c r="B210" t="s">
        <v>47</v>
      </c>
      <c r="C210" t="s">
        <v>44</v>
      </c>
      <c r="D210" t="s">
        <v>41</v>
      </c>
      <c r="E210" t="s">
        <v>23</v>
      </c>
      <c r="F210" t="s">
        <v>20</v>
      </c>
      <c r="G210" s="3">
        <v>54627</v>
      </c>
      <c r="H210" s="3">
        <v>360714</v>
      </c>
      <c r="I210">
        <v>159</v>
      </c>
      <c r="J210" s="3">
        <v>0.97</v>
      </c>
      <c r="K210">
        <v>6.29</v>
      </c>
      <c r="L210">
        <v>1.2</v>
      </c>
      <c r="M210">
        <v>2</v>
      </c>
      <c r="N210">
        <v>697</v>
      </c>
      <c r="O210" s="3">
        <f t="shared" si="6"/>
        <v>38075019</v>
      </c>
      <c r="P210" s="3">
        <f t="shared" si="7"/>
        <v>37714305</v>
      </c>
    </row>
    <row r="211" spans="1:16">
      <c r="A211">
        <v>2017</v>
      </c>
      <c r="B211" t="s">
        <v>50</v>
      </c>
      <c r="C211" t="s">
        <v>38</v>
      </c>
      <c r="D211" t="s">
        <v>52</v>
      </c>
      <c r="E211" t="s">
        <v>19</v>
      </c>
      <c r="F211" t="s">
        <v>33</v>
      </c>
      <c r="G211" s="3">
        <v>96822</v>
      </c>
      <c r="H211" s="3">
        <v>227169</v>
      </c>
      <c r="I211">
        <v>302</v>
      </c>
      <c r="J211" s="3">
        <v>0.97</v>
      </c>
      <c r="K211">
        <v>6.29</v>
      </c>
      <c r="L211">
        <v>1.2</v>
      </c>
      <c r="M211">
        <v>2</v>
      </c>
      <c r="N211">
        <v>941</v>
      </c>
      <c r="O211" s="3">
        <f t="shared" si="6"/>
        <v>91109502</v>
      </c>
      <c r="P211" s="3">
        <f t="shared" si="7"/>
        <v>90882333</v>
      </c>
    </row>
    <row r="212" spans="1:16">
      <c r="A212">
        <v>2017</v>
      </c>
      <c r="B212" t="s">
        <v>47</v>
      </c>
      <c r="C212" t="s">
        <v>46</v>
      </c>
      <c r="D212" t="s">
        <v>27</v>
      </c>
      <c r="E212" t="s">
        <v>23</v>
      </c>
      <c r="F212" t="s">
        <v>20</v>
      </c>
      <c r="G212" s="3">
        <v>119101</v>
      </c>
      <c r="H212" s="3">
        <v>336647</v>
      </c>
      <c r="I212">
        <v>112</v>
      </c>
      <c r="J212" s="3">
        <v>0.97</v>
      </c>
      <c r="K212">
        <v>6.29</v>
      </c>
      <c r="L212">
        <v>1.2</v>
      </c>
      <c r="M212">
        <v>8</v>
      </c>
      <c r="N212">
        <v>446</v>
      </c>
      <c r="O212" s="3">
        <f t="shared" si="6"/>
        <v>53119046</v>
      </c>
      <c r="P212" s="3">
        <f t="shared" si="7"/>
        <v>52782399</v>
      </c>
    </row>
    <row r="213" spans="1:16">
      <c r="A213">
        <v>2018</v>
      </c>
      <c r="B213" t="s">
        <v>48</v>
      </c>
      <c r="C213" t="s">
        <v>46</v>
      </c>
      <c r="D213" t="s">
        <v>41</v>
      </c>
      <c r="E213" t="s">
        <v>23</v>
      </c>
      <c r="F213" t="s">
        <v>20</v>
      </c>
      <c r="G213" s="3">
        <v>87248</v>
      </c>
      <c r="H213" s="3">
        <v>183851</v>
      </c>
      <c r="I213">
        <v>33</v>
      </c>
      <c r="J213" s="3">
        <v>0.97</v>
      </c>
      <c r="K213">
        <v>6.29</v>
      </c>
      <c r="L213">
        <v>1.2</v>
      </c>
      <c r="M213">
        <v>1</v>
      </c>
      <c r="N213">
        <v>477</v>
      </c>
      <c r="O213" s="3">
        <f t="shared" si="6"/>
        <v>41617296</v>
      </c>
      <c r="P213" s="3">
        <f t="shared" si="7"/>
        <v>41433445</v>
      </c>
    </row>
    <row r="214" spans="1:16">
      <c r="A214">
        <v>2021</v>
      </c>
      <c r="B214" t="s">
        <v>48</v>
      </c>
      <c r="C214" t="s">
        <v>45</v>
      </c>
      <c r="D214" t="s">
        <v>39</v>
      </c>
      <c r="E214" t="s">
        <v>23</v>
      </c>
      <c r="F214" t="s">
        <v>20</v>
      </c>
      <c r="G214" s="3">
        <v>90798</v>
      </c>
      <c r="H214" s="3">
        <v>398984</v>
      </c>
      <c r="I214">
        <v>377</v>
      </c>
      <c r="J214" s="3">
        <v>0.97</v>
      </c>
      <c r="K214">
        <v>6.29</v>
      </c>
      <c r="L214">
        <v>1.2</v>
      </c>
      <c r="M214">
        <v>4</v>
      </c>
      <c r="N214">
        <v>1008</v>
      </c>
      <c r="O214" s="3">
        <f t="shared" si="6"/>
        <v>91524384</v>
      </c>
      <c r="P214" s="3">
        <f t="shared" si="7"/>
        <v>91125400</v>
      </c>
    </row>
    <row r="215" spans="1:16">
      <c r="A215">
        <v>2018</v>
      </c>
      <c r="B215" t="s">
        <v>29</v>
      </c>
      <c r="C215" t="s">
        <v>51</v>
      </c>
      <c r="D215" t="s">
        <v>39</v>
      </c>
      <c r="E215" t="s">
        <v>23</v>
      </c>
      <c r="F215" t="s">
        <v>28</v>
      </c>
      <c r="G215" s="3">
        <v>79116</v>
      </c>
      <c r="H215" s="3">
        <v>181827</v>
      </c>
      <c r="I215">
        <v>221</v>
      </c>
      <c r="J215" s="3">
        <v>0.97</v>
      </c>
      <c r="K215">
        <v>6.29</v>
      </c>
      <c r="L215">
        <v>1.2</v>
      </c>
      <c r="M215">
        <v>10</v>
      </c>
      <c r="N215">
        <v>781</v>
      </c>
      <c r="O215" s="3">
        <f t="shared" si="6"/>
        <v>61789596</v>
      </c>
      <c r="P215" s="3">
        <f t="shared" si="7"/>
        <v>61607769</v>
      </c>
    </row>
    <row r="216" spans="1:16">
      <c r="A216">
        <v>2023</v>
      </c>
      <c r="B216" t="s">
        <v>35</v>
      </c>
      <c r="C216" t="s">
        <v>45</v>
      </c>
      <c r="D216" t="s">
        <v>32</v>
      </c>
      <c r="E216" t="s">
        <v>19</v>
      </c>
      <c r="F216" t="s">
        <v>24</v>
      </c>
      <c r="G216" s="3">
        <v>110318</v>
      </c>
      <c r="H216" s="3">
        <v>351407</v>
      </c>
      <c r="I216">
        <v>74</v>
      </c>
      <c r="J216" s="3">
        <v>0.97</v>
      </c>
      <c r="K216">
        <v>6.29</v>
      </c>
      <c r="L216">
        <v>1.2</v>
      </c>
      <c r="M216">
        <v>5</v>
      </c>
      <c r="N216">
        <v>532</v>
      </c>
      <c r="O216" s="3">
        <f t="shared" si="6"/>
        <v>58689176</v>
      </c>
      <c r="P216" s="3">
        <f t="shared" si="7"/>
        <v>58337769</v>
      </c>
    </row>
    <row r="217" spans="1:16">
      <c r="A217">
        <v>2015</v>
      </c>
      <c r="B217" t="s">
        <v>43</v>
      </c>
      <c r="C217" t="s">
        <v>46</v>
      </c>
      <c r="D217" t="s">
        <v>42</v>
      </c>
      <c r="E217" t="s">
        <v>19</v>
      </c>
      <c r="F217" t="s">
        <v>33</v>
      </c>
      <c r="G217" s="3">
        <v>63557</v>
      </c>
      <c r="H217" s="3">
        <v>420635</v>
      </c>
      <c r="I217">
        <v>218</v>
      </c>
      <c r="J217" s="3">
        <v>0.97</v>
      </c>
      <c r="K217">
        <v>6.29</v>
      </c>
      <c r="L217">
        <v>1.2</v>
      </c>
      <c r="M217">
        <v>9</v>
      </c>
      <c r="N217">
        <v>542</v>
      </c>
      <c r="O217" s="3">
        <f t="shared" si="6"/>
        <v>34447894</v>
      </c>
      <c r="P217" s="3">
        <f t="shared" si="7"/>
        <v>34027259</v>
      </c>
    </row>
    <row r="218" spans="1:16">
      <c r="A218">
        <v>2022</v>
      </c>
      <c r="B218" t="s">
        <v>43</v>
      </c>
      <c r="C218" t="s">
        <v>26</v>
      </c>
      <c r="D218" t="s">
        <v>22</v>
      </c>
      <c r="E218" t="s">
        <v>23</v>
      </c>
      <c r="F218" t="s">
        <v>20</v>
      </c>
      <c r="G218" s="3">
        <v>106334</v>
      </c>
      <c r="H218" s="3">
        <v>367231</v>
      </c>
      <c r="I218">
        <v>260</v>
      </c>
      <c r="J218" s="3">
        <v>0.97</v>
      </c>
      <c r="K218">
        <v>6.29</v>
      </c>
      <c r="L218">
        <v>1.2</v>
      </c>
      <c r="M218">
        <v>7</v>
      </c>
      <c r="N218">
        <v>796</v>
      </c>
      <c r="O218" s="3">
        <f t="shared" si="6"/>
        <v>84641864</v>
      </c>
      <c r="P218" s="3">
        <f t="shared" si="7"/>
        <v>84274633</v>
      </c>
    </row>
    <row r="219" spans="1:16">
      <c r="A219">
        <v>2021</v>
      </c>
      <c r="B219" t="s">
        <v>53</v>
      </c>
      <c r="C219" t="s">
        <v>38</v>
      </c>
      <c r="D219" t="s">
        <v>27</v>
      </c>
      <c r="E219" t="s">
        <v>23</v>
      </c>
      <c r="F219" t="s">
        <v>24</v>
      </c>
      <c r="G219" s="3">
        <v>110163</v>
      </c>
      <c r="H219" s="3">
        <v>485497</v>
      </c>
      <c r="I219">
        <v>394</v>
      </c>
      <c r="J219" s="3">
        <v>0.97</v>
      </c>
      <c r="K219">
        <v>6.29</v>
      </c>
      <c r="L219">
        <v>1.2</v>
      </c>
      <c r="M219">
        <v>8</v>
      </c>
      <c r="N219">
        <v>1237</v>
      </c>
      <c r="O219" s="3">
        <f t="shared" si="6"/>
        <v>136271631</v>
      </c>
      <c r="P219" s="3">
        <f t="shared" si="7"/>
        <v>135786134</v>
      </c>
    </row>
    <row r="220" spans="1:16">
      <c r="A220">
        <v>2016</v>
      </c>
      <c r="B220" t="s">
        <v>50</v>
      </c>
      <c r="C220" t="s">
        <v>45</v>
      </c>
      <c r="D220" t="s">
        <v>18</v>
      </c>
      <c r="E220" t="s">
        <v>19</v>
      </c>
      <c r="F220" t="s">
        <v>24</v>
      </c>
      <c r="G220" s="3">
        <v>113002</v>
      </c>
      <c r="H220" s="3">
        <v>101482</v>
      </c>
      <c r="I220">
        <v>126</v>
      </c>
      <c r="J220" s="3">
        <v>0.97</v>
      </c>
      <c r="K220">
        <v>6.29</v>
      </c>
      <c r="L220">
        <v>1.2</v>
      </c>
      <c r="M220">
        <v>9</v>
      </c>
      <c r="N220">
        <v>318</v>
      </c>
      <c r="O220" s="3">
        <f t="shared" si="6"/>
        <v>35934636</v>
      </c>
      <c r="P220" s="3">
        <f t="shared" si="7"/>
        <v>35833154</v>
      </c>
    </row>
    <row r="221" spans="1:16">
      <c r="A221">
        <v>2022</v>
      </c>
      <c r="B221" t="s">
        <v>37</v>
      </c>
      <c r="C221" t="s">
        <v>51</v>
      </c>
      <c r="D221" t="s">
        <v>22</v>
      </c>
      <c r="E221" t="s">
        <v>23</v>
      </c>
      <c r="F221" t="s">
        <v>28</v>
      </c>
      <c r="G221" s="3">
        <v>77614</v>
      </c>
      <c r="H221" s="3">
        <v>498073</v>
      </c>
      <c r="I221">
        <v>125</v>
      </c>
      <c r="J221" s="3">
        <v>0.97</v>
      </c>
      <c r="K221">
        <v>6.29</v>
      </c>
      <c r="L221">
        <v>1.2</v>
      </c>
      <c r="M221">
        <v>7</v>
      </c>
      <c r="N221">
        <v>592</v>
      </c>
      <c r="O221" s="3">
        <f t="shared" si="6"/>
        <v>45947488</v>
      </c>
      <c r="P221" s="3">
        <f t="shared" si="7"/>
        <v>45449415</v>
      </c>
    </row>
    <row r="222" spans="1:16">
      <c r="A222">
        <v>2015</v>
      </c>
      <c r="B222" t="s">
        <v>29</v>
      </c>
      <c r="C222" t="s">
        <v>34</v>
      </c>
      <c r="D222" t="s">
        <v>32</v>
      </c>
      <c r="E222" t="s">
        <v>19</v>
      </c>
      <c r="F222" t="s">
        <v>33</v>
      </c>
      <c r="G222" s="3">
        <v>47720</v>
      </c>
      <c r="H222" s="3">
        <v>172989</v>
      </c>
      <c r="I222">
        <v>246</v>
      </c>
      <c r="J222" s="3">
        <v>0.97</v>
      </c>
      <c r="K222">
        <v>6.29</v>
      </c>
      <c r="L222">
        <v>1.2</v>
      </c>
      <c r="M222">
        <v>5</v>
      </c>
      <c r="N222">
        <v>677</v>
      </c>
      <c r="O222" s="3">
        <f t="shared" si="6"/>
        <v>32306440</v>
      </c>
      <c r="P222" s="3">
        <f t="shared" si="7"/>
        <v>32133451</v>
      </c>
    </row>
    <row r="223" spans="1:16">
      <c r="A223">
        <v>2023</v>
      </c>
      <c r="B223" t="s">
        <v>48</v>
      </c>
      <c r="C223" t="s">
        <v>17</v>
      </c>
      <c r="D223" t="s">
        <v>39</v>
      </c>
      <c r="E223" t="s">
        <v>23</v>
      </c>
      <c r="F223" t="s">
        <v>28</v>
      </c>
      <c r="G223" s="3">
        <v>92608</v>
      </c>
      <c r="H223" s="3">
        <v>460616</v>
      </c>
      <c r="I223">
        <v>114</v>
      </c>
      <c r="J223" s="3">
        <v>0.97</v>
      </c>
      <c r="K223">
        <v>6.29</v>
      </c>
      <c r="L223">
        <v>1.2</v>
      </c>
      <c r="M223">
        <v>5</v>
      </c>
      <c r="N223">
        <v>551</v>
      </c>
      <c r="O223" s="3">
        <f t="shared" si="6"/>
        <v>51027008</v>
      </c>
      <c r="P223" s="3">
        <f t="shared" si="7"/>
        <v>50566392</v>
      </c>
    </row>
    <row r="224" spans="1:16">
      <c r="A224">
        <v>2023</v>
      </c>
      <c r="B224" t="s">
        <v>53</v>
      </c>
      <c r="C224" t="s">
        <v>46</v>
      </c>
      <c r="D224" t="s">
        <v>18</v>
      </c>
      <c r="E224" t="s">
        <v>19</v>
      </c>
      <c r="F224" t="s">
        <v>24</v>
      </c>
      <c r="G224" s="3">
        <v>107095</v>
      </c>
      <c r="H224" s="3">
        <v>352259</v>
      </c>
      <c r="I224">
        <v>268</v>
      </c>
      <c r="J224" s="3">
        <v>0.97</v>
      </c>
      <c r="K224">
        <v>6.29</v>
      </c>
      <c r="L224">
        <v>1.2</v>
      </c>
      <c r="M224">
        <v>10</v>
      </c>
      <c r="N224">
        <v>924</v>
      </c>
      <c r="O224" s="3">
        <f t="shared" si="6"/>
        <v>98955780</v>
      </c>
      <c r="P224" s="3">
        <f t="shared" si="7"/>
        <v>98603521</v>
      </c>
    </row>
    <row r="225" spans="1:16">
      <c r="A225">
        <v>2016</v>
      </c>
      <c r="B225" t="s">
        <v>37</v>
      </c>
      <c r="C225" t="s">
        <v>44</v>
      </c>
      <c r="D225" t="s">
        <v>39</v>
      </c>
      <c r="E225" t="s">
        <v>23</v>
      </c>
      <c r="F225" t="s">
        <v>24</v>
      </c>
      <c r="G225" s="3">
        <v>119694</v>
      </c>
      <c r="H225" s="3">
        <v>326393</v>
      </c>
      <c r="I225">
        <v>55</v>
      </c>
      <c r="J225" s="3">
        <v>0.97</v>
      </c>
      <c r="K225">
        <v>6.29</v>
      </c>
      <c r="L225">
        <v>1.2</v>
      </c>
      <c r="M225">
        <v>6</v>
      </c>
      <c r="N225">
        <v>536</v>
      </c>
      <c r="O225" s="3">
        <f t="shared" si="6"/>
        <v>64155984</v>
      </c>
      <c r="P225" s="3">
        <f t="shared" si="7"/>
        <v>63829591</v>
      </c>
    </row>
    <row r="226" spans="1:16">
      <c r="A226">
        <v>2021</v>
      </c>
      <c r="B226" t="s">
        <v>43</v>
      </c>
      <c r="C226" t="s">
        <v>34</v>
      </c>
      <c r="D226" t="s">
        <v>27</v>
      </c>
      <c r="E226" t="s">
        <v>23</v>
      </c>
      <c r="F226" t="s">
        <v>24</v>
      </c>
      <c r="G226" s="3">
        <v>70892</v>
      </c>
      <c r="H226" s="3">
        <v>294255</v>
      </c>
      <c r="I226">
        <v>320</v>
      </c>
      <c r="J226" s="3">
        <v>0.97</v>
      </c>
      <c r="K226">
        <v>6.29</v>
      </c>
      <c r="L226">
        <v>1.2</v>
      </c>
      <c r="M226">
        <v>5</v>
      </c>
      <c r="N226">
        <v>1099</v>
      </c>
      <c r="O226" s="3">
        <f t="shared" si="6"/>
        <v>77910308</v>
      </c>
      <c r="P226" s="3">
        <f t="shared" si="7"/>
        <v>77616053</v>
      </c>
    </row>
    <row r="227" spans="1:16">
      <c r="A227">
        <v>2024</v>
      </c>
      <c r="B227" t="s">
        <v>35</v>
      </c>
      <c r="C227" t="s">
        <v>40</v>
      </c>
      <c r="D227" t="s">
        <v>42</v>
      </c>
      <c r="E227" t="s">
        <v>19</v>
      </c>
      <c r="F227" t="s">
        <v>28</v>
      </c>
      <c r="G227" s="3">
        <v>112242</v>
      </c>
      <c r="H227" s="3">
        <v>490041</v>
      </c>
      <c r="I227">
        <v>340</v>
      </c>
      <c r="J227" s="3">
        <v>0.97</v>
      </c>
      <c r="K227">
        <v>6.29</v>
      </c>
      <c r="L227">
        <v>1.2</v>
      </c>
      <c r="M227">
        <v>9</v>
      </c>
      <c r="N227">
        <v>894</v>
      </c>
      <c r="O227" s="3">
        <f t="shared" si="6"/>
        <v>100344348</v>
      </c>
      <c r="P227" s="3">
        <f t="shared" si="7"/>
        <v>99854307</v>
      </c>
    </row>
    <row r="228" spans="1:16">
      <c r="A228">
        <v>2017</v>
      </c>
      <c r="B228" t="s">
        <v>47</v>
      </c>
      <c r="C228" t="s">
        <v>31</v>
      </c>
      <c r="D228" t="s">
        <v>22</v>
      </c>
      <c r="E228" t="s">
        <v>23</v>
      </c>
      <c r="F228" t="s">
        <v>33</v>
      </c>
      <c r="G228" s="3">
        <v>112606</v>
      </c>
      <c r="H228" s="3">
        <v>160361</v>
      </c>
      <c r="I228">
        <v>225</v>
      </c>
      <c r="J228" s="3">
        <v>0.97</v>
      </c>
      <c r="K228">
        <v>6.29</v>
      </c>
      <c r="L228">
        <v>1.2</v>
      </c>
      <c r="M228">
        <v>3</v>
      </c>
      <c r="N228">
        <v>665</v>
      </c>
      <c r="O228" s="3">
        <f t="shared" si="6"/>
        <v>74882990</v>
      </c>
      <c r="P228" s="3">
        <f t="shared" si="7"/>
        <v>74722629</v>
      </c>
    </row>
    <row r="229" spans="1:16">
      <c r="A229">
        <v>2021</v>
      </c>
      <c r="B229" t="s">
        <v>48</v>
      </c>
      <c r="C229" t="s">
        <v>51</v>
      </c>
      <c r="D229" t="s">
        <v>22</v>
      </c>
      <c r="E229" t="s">
        <v>23</v>
      </c>
      <c r="F229" t="s">
        <v>20</v>
      </c>
      <c r="G229" s="3">
        <v>35924</v>
      </c>
      <c r="H229" s="3">
        <v>336744</v>
      </c>
      <c r="I229">
        <v>310</v>
      </c>
      <c r="J229" s="3">
        <v>0.97</v>
      </c>
      <c r="K229">
        <v>6.29</v>
      </c>
      <c r="L229">
        <v>1.2</v>
      </c>
      <c r="M229">
        <v>3</v>
      </c>
      <c r="N229">
        <v>830</v>
      </c>
      <c r="O229" s="3">
        <f t="shared" si="6"/>
        <v>29816920</v>
      </c>
      <c r="P229" s="3">
        <f t="shared" si="7"/>
        <v>29480176</v>
      </c>
    </row>
    <row r="230" spans="1:16">
      <c r="A230">
        <v>2024</v>
      </c>
      <c r="B230" t="s">
        <v>53</v>
      </c>
      <c r="C230" t="s">
        <v>44</v>
      </c>
      <c r="D230" t="s">
        <v>41</v>
      </c>
      <c r="E230" t="s">
        <v>23</v>
      </c>
      <c r="F230" t="s">
        <v>28</v>
      </c>
      <c r="G230" s="3">
        <v>86322</v>
      </c>
      <c r="H230" s="3">
        <v>349850</v>
      </c>
      <c r="I230">
        <v>342</v>
      </c>
      <c r="J230" s="3">
        <v>0.97</v>
      </c>
      <c r="K230">
        <v>6.29</v>
      </c>
      <c r="L230">
        <v>1.2</v>
      </c>
      <c r="M230">
        <v>7</v>
      </c>
      <c r="N230">
        <v>705</v>
      </c>
      <c r="O230" s="3">
        <f t="shared" si="6"/>
        <v>60857010</v>
      </c>
      <c r="P230" s="3">
        <f t="shared" si="7"/>
        <v>60507160</v>
      </c>
    </row>
    <row r="231" spans="1:16">
      <c r="A231">
        <v>2023</v>
      </c>
      <c r="B231" t="s">
        <v>16</v>
      </c>
      <c r="C231" t="s">
        <v>31</v>
      </c>
      <c r="D231" t="s">
        <v>18</v>
      </c>
      <c r="E231" t="s">
        <v>19</v>
      </c>
      <c r="F231" t="s">
        <v>24</v>
      </c>
      <c r="G231" s="3">
        <v>61478</v>
      </c>
      <c r="H231" s="3">
        <v>331366</v>
      </c>
      <c r="I231">
        <v>33</v>
      </c>
      <c r="J231" s="3">
        <v>0.97</v>
      </c>
      <c r="K231">
        <v>6.29</v>
      </c>
      <c r="L231">
        <v>1.2</v>
      </c>
      <c r="M231">
        <v>7</v>
      </c>
      <c r="N231">
        <v>360</v>
      </c>
      <c r="O231" s="3">
        <f t="shared" si="6"/>
        <v>22132080</v>
      </c>
      <c r="P231" s="3">
        <f t="shared" si="7"/>
        <v>21800714</v>
      </c>
    </row>
    <row r="232" spans="1:16">
      <c r="A232">
        <v>2018</v>
      </c>
      <c r="B232" t="s">
        <v>37</v>
      </c>
      <c r="C232" t="s">
        <v>51</v>
      </c>
      <c r="D232" t="s">
        <v>52</v>
      </c>
      <c r="E232" t="s">
        <v>19</v>
      </c>
      <c r="F232" t="s">
        <v>28</v>
      </c>
      <c r="G232" s="3">
        <v>106042</v>
      </c>
      <c r="H232" s="3">
        <v>411185</v>
      </c>
      <c r="I232">
        <v>44</v>
      </c>
      <c r="J232" s="3">
        <v>0.97</v>
      </c>
      <c r="K232">
        <v>6.29</v>
      </c>
      <c r="L232">
        <v>1.2</v>
      </c>
      <c r="M232">
        <v>6</v>
      </c>
      <c r="N232">
        <v>152</v>
      </c>
      <c r="O232" s="3">
        <f t="shared" si="6"/>
        <v>16118384</v>
      </c>
      <c r="P232" s="3">
        <f t="shared" si="7"/>
        <v>15707199</v>
      </c>
    </row>
    <row r="233" spans="1:16">
      <c r="A233">
        <v>2015</v>
      </c>
      <c r="B233" t="s">
        <v>47</v>
      </c>
      <c r="C233" t="s">
        <v>26</v>
      </c>
      <c r="D233" t="s">
        <v>32</v>
      </c>
      <c r="E233" t="s">
        <v>19</v>
      </c>
      <c r="F233" t="s">
        <v>24</v>
      </c>
      <c r="G233" s="3">
        <v>81418</v>
      </c>
      <c r="H233" s="3">
        <v>416648</v>
      </c>
      <c r="I233">
        <v>33</v>
      </c>
      <c r="J233" s="3">
        <v>0.97</v>
      </c>
      <c r="K233">
        <v>6.29</v>
      </c>
      <c r="L233">
        <v>1.2</v>
      </c>
      <c r="M233">
        <v>3</v>
      </c>
      <c r="N233">
        <v>162</v>
      </c>
      <c r="O233" s="3">
        <f t="shared" si="6"/>
        <v>13189716</v>
      </c>
      <c r="P233" s="3">
        <f t="shared" si="7"/>
        <v>12773068</v>
      </c>
    </row>
    <row r="234" spans="1:16">
      <c r="A234">
        <v>2016</v>
      </c>
      <c r="B234" t="s">
        <v>48</v>
      </c>
      <c r="C234" t="s">
        <v>17</v>
      </c>
      <c r="D234" t="s">
        <v>52</v>
      </c>
      <c r="E234" t="s">
        <v>19</v>
      </c>
      <c r="F234" t="s">
        <v>20</v>
      </c>
      <c r="G234" s="3">
        <v>97217</v>
      </c>
      <c r="H234" s="3">
        <v>91139</v>
      </c>
      <c r="I234">
        <v>37</v>
      </c>
      <c r="J234" s="3">
        <v>0.97</v>
      </c>
      <c r="K234">
        <v>6.29</v>
      </c>
      <c r="L234">
        <v>1.2</v>
      </c>
      <c r="M234">
        <v>7</v>
      </c>
      <c r="N234">
        <v>411</v>
      </c>
      <c r="O234" s="3">
        <f t="shared" si="6"/>
        <v>39956187</v>
      </c>
      <c r="P234" s="3">
        <f t="shared" si="7"/>
        <v>39865048</v>
      </c>
    </row>
    <row r="235" spans="1:16">
      <c r="A235">
        <v>2015</v>
      </c>
      <c r="B235" t="s">
        <v>43</v>
      </c>
      <c r="C235" t="s">
        <v>34</v>
      </c>
      <c r="D235" t="s">
        <v>41</v>
      </c>
      <c r="E235" t="s">
        <v>23</v>
      </c>
      <c r="F235" t="s">
        <v>20</v>
      </c>
      <c r="G235" s="3">
        <v>115846</v>
      </c>
      <c r="H235" s="3">
        <v>164919</v>
      </c>
      <c r="I235">
        <v>25</v>
      </c>
      <c r="J235" s="3">
        <v>0.97</v>
      </c>
      <c r="K235">
        <v>6.29</v>
      </c>
      <c r="L235">
        <v>1.2</v>
      </c>
      <c r="M235">
        <v>5</v>
      </c>
      <c r="N235">
        <v>359</v>
      </c>
      <c r="O235" s="3">
        <f t="shared" si="6"/>
        <v>41588714</v>
      </c>
      <c r="P235" s="3">
        <f t="shared" si="7"/>
        <v>41423795</v>
      </c>
    </row>
    <row r="236" spans="1:16">
      <c r="A236">
        <v>2019</v>
      </c>
      <c r="B236" t="s">
        <v>25</v>
      </c>
      <c r="C236" t="s">
        <v>38</v>
      </c>
      <c r="D236" t="s">
        <v>27</v>
      </c>
      <c r="E236" t="s">
        <v>23</v>
      </c>
      <c r="F236" t="s">
        <v>33</v>
      </c>
      <c r="G236" s="3">
        <v>108762</v>
      </c>
      <c r="H236" s="3">
        <v>297677</v>
      </c>
      <c r="I236">
        <v>68</v>
      </c>
      <c r="J236" s="3">
        <v>0.97</v>
      </c>
      <c r="K236">
        <v>6.29</v>
      </c>
      <c r="L236">
        <v>1.2</v>
      </c>
      <c r="M236">
        <v>7</v>
      </c>
      <c r="N236">
        <v>367</v>
      </c>
      <c r="O236" s="3">
        <f t="shared" si="6"/>
        <v>39915654</v>
      </c>
      <c r="P236" s="3">
        <f t="shared" si="7"/>
        <v>39617977</v>
      </c>
    </row>
    <row r="237" spans="1:16">
      <c r="A237">
        <v>2019</v>
      </c>
      <c r="B237" t="s">
        <v>50</v>
      </c>
      <c r="C237" t="s">
        <v>51</v>
      </c>
      <c r="D237" t="s">
        <v>32</v>
      </c>
      <c r="E237" t="s">
        <v>19</v>
      </c>
      <c r="F237" t="s">
        <v>24</v>
      </c>
      <c r="G237" s="3">
        <v>46781</v>
      </c>
      <c r="H237" s="3">
        <v>353446</v>
      </c>
      <c r="I237">
        <v>252</v>
      </c>
      <c r="J237" s="3">
        <v>0.97</v>
      </c>
      <c r="K237">
        <v>6.29</v>
      </c>
      <c r="L237">
        <v>1.2</v>
      </c>
      <c r="M237">
        <v>2</v>
      </c>
      <c r="N237">
        <v>644</v>
      </c>
      <c r="O237" s="3">
        <f t="shared" si="6"/>
        <v>30126964</v>
      </c>
      <c r="P237" s="3">
        <f t="shared" si="7"/>
        <v>29773518</v>
      </c>
    </row>
    <row r="238" spans="1:16">
      <c r="A238">
        <v>2021</v>
      </c>
      <c r="B238" t="s">
        <v>37</v>
      </c>
      <c r="C238" t="s">
        <v>38</v>
      </c>
      <c r="D238" t="s">
        <v>42</v>
      </c>
      <c r="E238" t="s">
        <v>19</v>
      </c>
      <c r="F238" t="s">
        <v>33</v>
      </c>
      <c r="G238" s="3">
        <v>40515</v>
      </c>
      <c r="H238" s="3">
        <v>275756</v>
      </c>
      <c r="I238">
        <v>216</v>
      </c>
      <c r="J238" s="3">
        <v>0.97</v>
      </c>
      <c r="K238">
        <v>6.29</v>
      </c>
      <c r="L238">
        <v>1.2</v>
      </c>
      <c r="M238">
        <v>6</v>
      </c>
      <c r="N238">
        <v>530</v>
      </c>
      <c r="O238" s="3">
        <f t="shared" si="6"/>
        <v>21472950</v>
      </c>
      <c r="P238" s="3">
        <f t="shared" si="7"/>
        <v>21197194</v>
      </c>
    </row>
    <row r="239" spans="1:16">
      <c r="A239">
        <v>2023</v>
      </c>
      <c r="B239" t="s">
        <v>43</v>
      </c>
      <c r="C239" t="s">
        <v>17</v>
      </c>
      <c r="D239" t="s">
        <v>52</v>
      </c>
      <c r="E239" t="s">
        <v>19</v>
      </c>
      <c r="F239" t="s">
        <v>33</v>
      </c>
      <c r="G239" s="3">
        <v>71133</v>
      </c>
      <c r="H239" s="3">
        <v>399982</v>
      </c>
      <c r="I239">
        <v>280</v>
      </c>
      <c r="J239" s="3">
        <v>0.97</v>
      </c>
      <c r="K239">
        <v>6.29</v>
      </c>
      <c r="L239">
        <v>1.2</v>
      </c>
      <c r="M239">
        <v>8</v>
      </c>
      <c r="N239">
        <v>899</v>
      </c>
      <c r="O239" s="3">
        <f t="shared" si="6"/>
        <v>63948567</v>
      </c>
      <c r="P239" s="3">
        <f t="shared" si="7"/>
        <v>63548585</v>
      </c>
    </row>
    <row r="240" spans="1:16">
      <c r="A240">
        <v>2023</v>
      </c>
      <c r="B240" t="s">
        <v>48</v>
      </c>
      <c r="C240" t="s">
        <v>46</v>
      </c>
      <c r="D240" t="s">
        <v>42</v>
      </c>
      <c r="E240" t="s">
        <v>19</v>
      </c>
      <c r="F240" t="s">
        <v>20</v>
      </c>
      <c r="G240" s="3">
        <v>117508</v>
      </c>
      <c r="H240" s="3">
        <v>189718</v>
      </c>
      <c r="I240">
        <v>258</v>
      </c>
      <c r="J240" s="3">
        <v>0.97</v>
      </c>
      <c r="K240">
        <v>6.29</v>
      </c>
      <c r="L240">
        <v>1.2</v>
      </c>
      <c r="M240">
        <v>1</v>
      </c>
      <c r="N240">
        <v>550</v>
      </c>
      <c r="O240" s="3">
        <f t="shared" si="6"/>
        <v>64629400</v>
      </c>
      <c r="P240" s="3">
        <f t="shared" si="7"/>
        <v>64439682</v>
      </c>
    </row>
    <row r="241" spans="1:16">
      <c r="A241">
        <v>2017</v>
      </c>
      <c r="B241" t="s">
        <v>37</v>
      </c>
      <c r="C241" t="s">
        <v>40</v>
      </c>
      <c r="D241" t="s">
        <v>52</v>
      </c>
      <c r="E241" t="s">
        <v>19</v>
      </c>
      <c r="F241" t="s">
        <v>28</v>
      </c>
      <c r="G241" s="3">
        <v>111946</v>
      </c>
      <c r="H241" s="3">
        <v>194615</v>
      </c>
      <c r="I241">
        <v>276</v>
      </c>
      <c r="J241" s="3">
        <v>0.97</v>
      </c>
      <c r="K241">
        <v>6.29</v>
      </c>
      <c r="L241">
        <v>1.2</v>
      </c>
      <c r="M241">
        <v>4</v>
      </c>
      <c r="N241">
        <v>903</v>
      </c>
      <c r="O241" s="3">
        <f t="shared" si="6"/>
        <v>101087238</v>
      </c>
      <c r="P241" s="3">
        <f t="shared" si="7"/>
        <v>100892623</v>
      </c>
    </row>
    <row r="242" spans="1:16">
      <c r="A242">
        <v>2017</v>
      </c>
      <c r="B242" t="s">
        <v>29</v>
      </c>
      <c r="C242" t="s">
        <v>34</v>
      </c>
      <c r="D242" t="s">
        <v>42</v>
      </c>
      <c r="E242" t="s">
        <v>19</v>
      </c>
      <c r="F242" t="s">
        <v>28</v>
      </c>
      <c r="G242" s="3">
        <v>44095</v>
      </c>
      <c r="H242" s="3">
        <v>275568</v>
      </c>
      <c r="I242">
        <v>202</v>
      </c>
      <c r="J242" s="3">
        <v>0.97</v>
      </c>
      <c r="K242">
        <v>6.29</v>
      </c>
      <c r="L242">
        <v>1.2</v>
      </c>
      <c r="M242">
        <v>1</v>
      </c>
      <c r="N242">
        <v>860</v>
      </c>
      <c r="O242" s="3">
        <f t="shared" si="6"/>
        <v>37921700</v>
      </c>
      <c r="P242" s="3">
        <f t="shared" si="7"/>
        <v>37646132</v>
      </c>
    </row>
    <row r="243" spans="1:16">
      <c r="A243">
        <v>2017</v>
      </c>
      <c r="B243" t="s">
        <v>47</v>
      </c>
      <c r="C243" t="s">
        <v>17</v>
      </c>
      <c r="D243" t="s">
        <v>52</v>
      </c>
      <c r="E243" t="s">
        <v>19</v>
      </c>
      <c r="F243" t="s">
        <v>33</v>
      </c>
      <c r="G243" s="3">
        <v>55470</v>
      </c>
      <c r="H243" s="3">
        <v>203857</v>
      </c>
      <c r="I243">
        <v>344</v>
      </c>
      <c r="J243" s="3">
        <v>0.97</v>
      </c>
      <c r="K243">
        <v>6.29</v>
      </c>
      <c r="L243">
        <v>1.2</v>
      </c>
      <c r="M243">
        <v>1</v>
      </c>
      <c r="N243">
        <v>1012</v>
      </c>
      <c r="O243" s="3">
        <f t="shared" si="6"/>
        <v>56135640</v>
      </c>
      <c r="P243" s="3">
        <f t="shared" si="7"/>
        <v>55931783</v>
      </c>
    </row>
    <row r="244" spans="1:16">
      <c r="A244">
        <v>2018</v>
      </c>
      <c r="B244" t="s">
        <v>48</v>
      </c>
      <c r="C244" t="s">
        <v>17</v>
      </c>
      <c r="D244" t="s">
        <v>42</v>
      </c>
      <c r="E244" t="s">
        <v>19</v>
      </c>
      <c r="F244" t="s">
        <v>20</v>
      </c>
      <c r="G244" s="3">
        <v>78129</v>
      </c>
      <c r="H244" s="3">
        <v>390497</v>
      </c>
      <c r="I244">
        <v>227</v>
      </c>
      <c r="J244" s="3">
        <v>0.97</v>
      </c>
      <c r="K244">
        <v>6.29</v>
      </c>
      <c r="L244">
        <v>1.2</v>
      </c>
      <c r="M244">
        <v>10</v>
      </c>
      <c r="N244">
        <v>538</v>
      </c>
      <c r="O244" s="3">
        <f t="shared" si="6"/>
        <v>42033402</v>
      </c>
      <c r="P244" s="3">
        <f t="shared" si="7"/>
        <v>41642905</v>
      </c>
    </row>
    <row r="245" spans="1:16">
      <c r="A245">
        <v>2022</v>
      </c>
      <c r="B245" t="s">
        <v>29</v>
      </c>
      <c r="C245" t="s">
        <v>26</v>
      </c>
      <c r="D245" t="s">
        <v>41</v>
      </c>
      <c r="E245" t="s">
        <v>23</v>
      </c>
      <c r="F245" t="s">
        <v>24</v>
      </c>
      <c r="G245" s="3">
        <v>43531</v>
      </c>
      <c r="H245" s="3">
        <v>474622</v>
      </c>
      <c r="I245">
        <v>124</v>
      </c>
      <c r="J245" s="3">
        <v>0.97</v>
      </c>
      <c r="K245">
        <v>6.29</v>
      </c>
      <c r="L245">
        <v>1.2</v>
      </c>
      <c r="M245">
        <v>8</v>
      </c>
      <c r="N245">
        <v>516</v>
      </c>
      <c r="O245" s="3">
        <f t="shared" si="6"/>
        <v>22461996</v>
      </c>
      <c r="P245" s="3">
        <f t="shared" si="7"/>
        <v>21987374</v>
      </c>
    </row>
    <row r="246" spans="1:16">
      <c r="A246">
        <v>2020</v>
      </c>
      <c r="B246" t="s">
        <v>21</v>
      </c>
      <c r="C246" t="s">
        <v>31</v>
      </c>
      <c r="D246" t="s">
        <v>36</v>
      </c>
      <c r="E246" t="s">
        <v>19</v>
      </c>
      <c r="F246" t="s">
        <v>28</v>
      </c>
      <c r="G246" s="3">
        <v>72038</v>
      </c>
      <c r="H246" s="3">
        <v>401136</v>
      </c>
      <c r="I246">
        <v>77</v>
      </c>
      <c r="J246" s="3">
        <v>0.97</v>
      </c>
      <c r="K246">
        <v>6.29</v>
      </c>
      <c r="L246">
        <v>1.2</v>
      </c>
      <c r="M246">
        <v>7</v>
      </c>
      <c r="N246">
        <v>407</v>
      </c>
      <c r="O246" s="3">
        <f t="shared" si="6"/>
        <v>29319466</v>
      </c>
      <c r="P246" s="3">
        <f t="shared" si="7"/>
        <v>28918330</v>
      </c>
    </row>
    <row r="247" spans="1:16">
      <c r="A247">
        <v>2022</v>
      </c>
      <c r="B247" t="s">
        <v>53</v>
      </c>
      <c r="C247" t="s">
        <v>40</v>
      </c>
      <c r="D247" t="s">
        <v>32</v>
      </c>
      <c r="E247" t="s">
        <v>19</v>
      </c>
      <c r="F247" t="s">
        <v>33</v>
      </c>
      <c r="G247" s="3">
        <v>77674</v>
      </c>
      <c r="H247" s="3">
        <v>363572</v>
      </c>
      <c r="I247">
        <v>308</v>
      </c>
      <c r="J247" s="3">
        <v>0.97</v>
      </c>
      <c r="K247">
        <v>6.29</v>
      </c>
      <c r="L247">
        <v>1.2</v>
      </c>
      <c r="M247">
        <v>10</v>
      </c>
      <c r="N247">
        <v>925</v>
      </c>
      <c r="O247" s="3">
        <f t="shared" si="6"/>
        <v>71848450</v>
      </c>
      <c r="P247" s="3">
        <f t="shared" si="7"/>
        <v>71484878</v>
      </c>
    </row>
    <row r="248" spans="1:16">
      <c r="A248">
        <v>2015</v>
      </c>
      <c r="B248" t="s">
        <v>25</v>
      </c>
      <c r="C248" t="s">
        <v>34</v>
      </c>
      <c r="D248" t="s">
        <v>18</v>
      </c>
      <c r="E248" t="s">
        <v>19</v>
      </c>
      <c r="F248" t="s">
        <v>28</v>
      </c>
      <c r="G248" s="3">
        <v>117476</v>
      </c>
      <c r="H248" s="3">
        <v>73777</v>
      </c>
      <c r="I248">
        <v>334</v>
      </c>
      <c r="J248" s="3">
        <v>0.97</v>
      </c>
      <c r="K248">
        <v>6.29</v>
      </c>
      <c r="L248">
        <v>1.2</v>
      </c>
      <c r="M248">
        <v>1</v>
      </c>
      <c r="N248">
        <v>1025</v>
      </c>
      <c r="O248" s="3">
        <f t="shared" si="6"/>
        <v>120412900</v>
      </c>
      <c r="P248" s="3">
        <f t="shared" si="7"/>
        <v>120339123</v>
      </c>
    </row>
    <row r="249" spans="1:16">
      <c r="A249">
        <v>2022</v>
      </c>
      <c r="B249" t="s">
        <v>47</v>
      </c>
      <c r="C249" t="s">
        <v>46</v>
      </c>
      <c r="D249" t="s">
        <v>27</v>
      </c>
      <c r="E249" t="s">
        <v>23</v>
      </c>
      <c r="F249" t="s">
        <v>28</v>
      </c>
      <c r="G249" s="3">
        <v>64831</v>
      </c>
      <c r="H249" s="3">
        <v>107939</v>
      </c>
      <c r="I249">
        <v>84</v>
      </c>
      <c r="J249" s="3">
        <v>0.97</v>
      </c>
      <c r="K249">
        <v>6.29</v>
      </c>
      <c r="L249">
        <v>1.2</v>
      </c>
      <c r="M249">
        <v>2</v>
      </c>
      <c r="N249">
        <v>450</v>
      </c>
      <c r="O249" s="3">
        <f t="shared" si="6"/>
        <v>29173950</v>
      </c>
      <c r="P249" s="3">
        <f t="shared" si="7"/>
        <v>29066011</v>
      </c>
    </row>
    <row r="250" spans="1:16">
      <c r="A250">
        <v>2018</v>
      </c>
      <c r="B250" t="s">
        <v>37</v>
      </c>
      <c r="C250" t="s">
        <v>46</v>
      </c>
      <c r="D250" t="s">
        <v>30</v>
      </c>
      <c r="E250" t="s">
        <v>23</v>
      </c>
      <c r="F250" t="s">
        <v>24</v>
      </c>
      <c r="G250" s="3">
        <v>92174</v>
      </c>
      <c r="H250" s="3">
        <v>496242</v>
      </c>
      <c r="I250">
        <v>112</v>
      </c>
      <c r="J250" s="3">
        <v>0.97</v>
      </c>
      <c r="K250">
        <v>6.29</v>
      </c>
      <c r="L250">
        <v>1.2</v>
      </c>
      <c r="M250">
        <v>4</v>
      </c>
      <c r="N250">
        <v>543</v>
      </c>
      <c r="O250" s="3">
        <f t="shared" si="6"/>
        <v>50050482</v>
      </c>
      <c r="P250" s="3">
        <f t="shared" si="7"/>
        <v>49554240</v>
      </c>
    </row>
    <row r="251" spans="1:16">
      <c r="A251">
        <v>2015</v>
      </c>
      <c r="B251" t="s">
        <v>50</v>
      </c>
      <c r="C251" t="s">
        <v>45</v>
      </c>
      <c r="D251" t="s">
        <v>39</v>
      </c>
      <c r="E251" t="s">
        <v>23</v>
      </c>
      <c r="F251" t="s">
        <v>20</v>
      </c>
      <c r="G251" s="3">
        <v>46279</v>
      </c>
      <c r="H251" s="3">
        <v>398594</v>
      </c>
      <c r="I251">
        <v>306</v>
      </c>
      <c r="J251" s="3">
        <v>0.97</v>
      </c>
      <c r="K251">
        <v>6.29</v>
      </c>
      <c r="L251">
        <v>1.2</v>
      </c>
      <c r="M251">
        <v>1</v>
      </c>
      <c r="N251">
        <v>999</v>
      </c>
      <c r="O251" s="3">
        <f t="shared" si="6"/>
        <v>46232721</v>
      </c>
      <c r="P251" s="3">
        <f t="shared" si="7"/>
        <v>45834127</v>
      </c>
    </row>
    <row r="252" spans="1:16">
      <c r="A252">
        <v>2022</v>
      </c>
      <c r="B252" t="s">
        <v>43</v>
      </c>
      <c r="C252" t="s">
        <v>17</v>
      </c>
      <c r="D252" t="s">
        <v>18</v>
      </c>
      <c r="E252" t="s">
        <v>19</v>
      </c>
      <c r="F252" t="s">
        <v>24</v>
      </c>
      <c r="G252" s="3">
        <v>73220</v>
      </c>
      <c r="H252" s="3">
        <v>472769</v>
      </c>
      <c r="I252">
        <v>187</v>
      </c>
      <c r="J252" s="3">
        <v>0.97</v>
      </c>
      <c r="K252">
        <v>6.29</v>
      </c>
      <c r="L252">
        <v>1.2</v>
      </c>
      <c r="M252">
        <v>3</v>
      </c>
      <c r="N252">
        <v>811</v>
      </c>
      <c r="O252" s="3">
        <f t="shared" si="6"/>
        <v>59381420</v>
      </c>
      <c r="P252" s="3">
        <f t="shared" si="7"/>
        <v>58908651</v>
      </c>
    </row>
    <row r="253" spans="1:16">
      <c r="A253">
        <v>2018</v>
      </c>
      <c r="B253" t="s">
        <v>16</v>
      </c>
      <c r="C253" t="s">
        <v>51</v>
      </c>
      <c r="D253" t="s">
        <v>39</v>
      </c>
      <c r="E253" t="s">
        <v>23</v>
      </c>
      <c r="F253" t="s">
        <v>20</v>
      </c>
      <c r="G253" s="3">
        <v>95610</v>
      </c>
      <c r="H253" s="3">
        <v>73548</v>
      </c>
      <c r="I253">
        <v>224</v>
      </c>
      <c r="J253" s="3">
        <v>0.97</v>
      </c>
      <c r="K253">
        <v>6.29</v>
      </c>
      <c r="L253">
        <v>1.2</v>
      </c>
      <c r="M253">
        <v>8</v>
      </c>
      <c r="N253">
        <v>685</v>
      </c>
      <c r="O253" s="3">
        <f t="shared" si="6"/>
        <v>65492850</v>
      </c>
      <c r="P253" s="3">
        <f t="shared" si="7"/>
        <v>65419302</v>
      </c>
    </row>
    <row r="254" spans="1:16">
      <c r="A254">
        <v>2020</v>
      </c>
      <c r="B254" t="s">
        <v>43</v>
      </c>
      <c r="C254" t="s">
        <v>26</v>
      </c>
      <c r="D254" t="s">
        <v>32</v>
      </c>
      <c r="E254" t="s">
        <v>19</v>
      </c>
      <c r="F254" t="s">
        <v>28</v>
      </c>
      <c r="G254" s="3">
        <v>87719</v>
      </c>
      <c r="H254" s="3">
        <v>480481</v>
      </c>
      <c r="I254">
        <v>324</v>
      </c>
      <c r="J254" s="3">
        <v>0.97</v>
      </c>
      <c r="K254">
        <v>6.29</v>
      </c>
      <c r="L254">
        <v>1.2</v>
      </c>
      <c r="M254">
        <v>8</v>
      </c>
      <c r="N254">
        <v>847</v>
      </c>
      <c r="O254" s="3">
        <f t="shared" si="6"/>
        <v>74297993</v>
      </c>
      <c r="P254" s="3">
        <f t="shared" si="7"/>
        <v>73817512</v>
      </c>
    </row>
    <row r="255" spans="1:16">
      <c r="A255">
        <v>2022</v>
      </c>
      <c r="B255" t="s">
        <v>37</v>
      </c>
      <c r="C255" t="s">
        <v>40</v>
      </c>
      <c r="D255" t="s">
        <v>18</v>
      </c>
      <c r="E255" t="s">
        <v>19</v>
      </c>
      <c r="F255" t="s">
        <v>33</v>
      </c>
      <c r="G255" s="3">
        <v>88051</v>
      </c>
      <c r="H255" s="3">
        <v>175549</v>
      </c>
      <c r="I255">
        <v>48</v>
      </c>
      <c r="J255" s="3">
        <v>0.97</v>
      </c>
      <c r="K255">
        <v>6.29</v>
      </c>
      <c r="L255">
        <v>1.2</v>
      </c>
      <c r="M255">
        <v>8</v>
      </c>
      <c r="N255">
        <v>209</v>
      </c>
      <c r="O255" s="3">
        <f t="shared" si="6"/>
        <v>18402659</v>
      </c>
      <c r="P255" s="3">
        <f t="shared" si="7"/>
        <v>18227110</v>
      </c>
    </row>
    <row r="256" spans="1:16">
      <c r="A256">
        <v>2018</v>
      </c>
      <c r="B256" t="s">
        <v>25</v>
      </c>
      <c r="C256" t="s">
        <v>46</v>
      </c>
      <c r="D256" t="s">
        <v>42</v>
      </c>
      <c r="E256" t="s">
        <v>19</v>
      </c>
      <c r="F256" t="s">
        <v>24</v>
      </c>
      <c r="G256" s="3">
        <v>107013</v>
      </c>
      <c r="H256" s="3">
        <v>483917</v>
      </c>
      <c r="I256">
        <v>268</v>
      </c>
      <c r="J256" s="3">
        <v>0.97</v>
      </c>
      <c r="K256">
        <v>6.29</v>
      </c>
      <c r="L256">
        <v>1.2</v>
      </c>
      <c r="M256">
        <v>6</v>
      </c>
      <c r="N256">
        <v>840</v>
      </c>
      <c r="O256" s="3">
        <f t="shared" si="6"/>
        <v>89890920</v>
      </c>
      <c r="P256" s="3">
        <f t="shared" si="7"/>
        <v>89407003</v>
      </c>
    </row>
    <row r="257" spans="1:16">
      <c r="A257">
        <v>2017</v>
      </c>
      <c r="B257" t="s">
        <v>43</v>
      </c>
      <c r="C257" t="s">
        <v>34</v>
      </c>
      <c r="D257" t="s">
        <v>42</v>
      </c>
      <c r="E257" t="s">
        <v>19</v>
      </c>
      <c r="F257" t="s">
        <v>20</v>
      </c>
      <c r="G257" s="3">
        <v>91652</v>
      </c>
      <c r="H257" s="3">
        <v>494503</v>
      </c>
      <c r="I257">
        <v>213</v>
      </c>
      <c r="J257" s="3">
        <v>0.97</v>
      </c>
      <c r="K257">
        <v>6.29</v>
      </c>
      <c r="L257">
        <v>1.2</v>
      </c>
      <c r="M257">
        <v>6</v>
      </c>
      <c r="N257">
        <v>725</v>
      </c>
      <c r="O257" s="3">
        <f t="shared" si="6"/>
        <v>66447700</v>
      </c>
      <c r="P257" s="3">
        <f t="shared" si="7"/>
        <v>65953197</v>
      </c>
    </row>
    <row r="258" spans="1:16">
      <c r="A258">
        <v>2023</v>
      </c>
      <c r="B258" t="s">
        <v>53</v>
      </c>
      <c r="C258" t="s">
        <v>45</v>
      </c>
      <c r="D258" t="s">
        <v>30</v>
      </c>
      <c r="E258" t="s">
        <v>23</v>
      </c>
      <c r="F258" t="s">
        <v>28</v>
      </c>
      <c r="G258" s="3">
        <v>100524</v>
      </c>
      <c r="H258" s="3">
        <v>187799</v>
      </c>
      <c r="I258">
        <v>16</v>
      </c>
      <c r="J258" s="3">
        <v>0.97</v>
      </c>
      <c r="K258">
        <v>6.29</v>
      </c>
      <c r="L258">
        <v>1.2</v>
      </c>
      <c r="M258">
        <v>5</v>
      </c>
      <c r="N258">
        <v>344</v>
      </c>
      <c r="O258" s="3">
        <f t="shared" si="6"/>
        <v>34580256</v>
      </c>
      <c r="P258" s="3">
        <f t="shared" si="7"/>
        <v>34392457</v>
      </c>
    </row>
    <row r="259" spans="1:16">
      <c r="A259">
        <v>2017</v>
      </c>
      <c r="B259" t="s">
        <v>25</v>
      </c>
      <c r="C259" t="s">
        <v>34</v>
      </c>
      <c r="D259" t="s">
        <v>39</v>
      </c>
      <c r="E259" t="s">
        <v>23</v>
      </c>
      <c r="F259" t="s">
        <v>20</v>
      </c>
      <c r="G259" s="3">
        <v>117936</v>
      </c>
      <c r="H259" s="3">
        <v>291532</v>
      </c>
      <c r="I259">
        <v>58</v>
      </c>
      <c r="J259" s="3">
        <v>0.97</v>
      </c>
      <c r="K259">
        <v>6.29</v>
      </c>
      <c r="L259">
        <v>1.2</v>
      </c>
      <c r="M259">
        <v>9</v>
      </c>
      <c r="N259">
        <v>441</v>
      </c>
      <c r="O259" s="3">
        <f t="shared" ref="O259:O322" si="8">N259*G259</f>
        <v>52009776</v>
      </c>
      <c r="P259" s="3">
        <f t="shared" ref="P259:P322" si="9">O259-H259</f>
        <v>51718244</v>
      </c>
    </row>
    <row r="260" spans="1:16">
      <c r="A260">
        <v>2023</v>
      </c>
      <c r="B260" t="s">
        <v>48</v>
      </c>
      <c r="C260" t="s">
        <v>26</v>
      </c>
      <c r="D260" t="s">
        <v>27</v>
      </c>
      <c r="E260" t="s">
        <v>23</v>
      </c>
      <c r="F260" t="s">
        <v>20</v>
      </c>
      <c r="G260" s="3">
        <v>41470</v>
      </c>
      <c r="H260" s="3">
        <v>231789</v>
      </c>
      <c r="I260">
        <v>35</v>
      </c>
      <c r="J260" s="3">
        <v>0.97</v>
      </c>
      <c r="K260">
        <v>6.29</v>
      </c>
      <c r="L260">
        <v>1.2</v>
      </c>
      <c r="M260">
        <v>4</v>
      </c>
      <c r="N260">
        <v>281</v>
      </c>
      <c r="O260" s="3">
        <f t="shared" si="8"/>
        <v>11653070</v>
      </c>
      <c r="P260" s="3">
        <f t="shared" si="9"/>
        <v>11421281</v>
      </c>
    </row>
    <row r="261" spans="1:16">
      <c r="A261">
        <v>2016</v>
      </c>
      <c r="B261" t="s">
        <v>29</v>
      </c>
      <c r="C261" t="s">
        <v>51</v>
      </c>
      <c r="D261" t="s">
        <v>32</v>
      </c>
      <c r="E261" t="s">
        <v>19</v>
      </c>
      <c r="F261" t="s">
        <v>20</v>
      </c>
      <c r="G261" s="3">
        <v>102598</v>
      </c>
      <c r="H261" s="3">
        <v>475643</v>
      </c>
      <c r="I261">
        <v>170</v>
      </c>
      <c r="J261" s="3">
        <v>0.97</v>
      </c>
      <c r="K261">
        <v>6.29</v>
      </c>
      <c r="L261">
        <v>1.2</v>
      </c>
      <c r="M261">
        <v>10</v>
      </c>
      <c r="N261">
        <v>625</v>
      </c>
      <c r="O261" s="3">
        <f t="shared" si="8"/>
        <v>64123750</v>
      </c>
      <c r="P261" s="3">
        <f t="shared" si="9"/>
        <v>63648107</v>
      </c>
    </row>
    <row r="262" spans="1:16">
      <c r="A262">
        <v>2016</v>
      </c>
      <c r="B262" t="s">
        <v>16</v>
      </c>
      <c r="C262" t="s">
        <v>45</v>
      </c>
      <c r="D262" t="s">
        <v>42</v>
      </c>
      <c r="E262" t="s">
        <v>19</v>
      </c>
      <c r="F262" t="s">
        <v>28</v>
      </c>
      <c r="G262" s="3">
        <v>76798</v>
      </c>
      <c r="H262" s="3">
        <v>197764</v>
      </c>
      <c r="I262">
        <v>366</v>
      </c>
      <c r="J262" s="3">
        <v>0.97</v>
      </c>
      <c r="K262">
        <v>6.29</v>
      </c>
      <c r="L262">
        <v>1.2</v>
      </c>
      <c r="M262">
        <v>7</v>
      </c>
      <c r="N262">
        <v>1104</v>
      </c>
      <c r="O262" s="3">
        <f t="shared" si="8"/>
        <v>84784992</v>
      </c>
      <c r="P262" s="3">
        <f t="shared" si="9"/>
        <v>84587228</v>
      </c>
    </row>
    <row r="263" spans="1:16">
      <c r="A263">
        <v>2016</v>
      </c>
      <c r="B263" t="s">
        <v>49</v>
      </c>
      <c r="C263" t="s">
        <v>45</v>
      </c>
      <c r="D263" t="s">
        <v>36</v>
      </c>
      <c r="E263" t="s">
        <v>19</v>
      </c>
      <c r="F263" t="s">
        <v>33</v>
      </c>
      <c r="G263" s="3">
        <v>88473</v>
      </c>
      <c r="H263" s="3">
        <v>81625</v>
      </c>
      <c r="I263">
        <v>185</v>
      </c>
      <c r="J263" s="3">
        <v>0.97</v>
      </c>
      <c r="K263">
        <v>6.29</v>
      </c>
      <c r="L263">
        <v>1.2</v>
      </c>
      <c r="M263">
        <v>1</v>
      </c>
      <c r="N263">
        <v>540</v>
      </c>
      <c r="O263" s="3">
        <f t="shared" si="8"/>
        <v>47775420</v>
      </c>
      <c r="P263" s="3">
        <f t="shared" si="9"/>
        <v>47693795</v>
      </c>
    </row>
    <row r="264" spans="1:16">
      <c r="A264">
        <v>2020</v>
      </c>
      <c r="B264" t="s">
        <v>37</v>
      </c>
      <c r="C264" t="s">
        <v>31</v>
      </c>
      <c r="D264" t="s">
        <v>41</v>
      </c>
      <c r="E264" t="s">
        <v>23</v>
      </c>
      <c r="F264" t="s">
        <v>33</v>
      </c>
      <c r="G264" s="3">
        <v>54880</v>
      </c>
      <c r="H264" s="3">
        <v>337062</v>
      </c>
      <c r="I264">
        <v>88</v>
      </c>
      <c r="J264" s="3">
        <v>0.97</v>
      </c>
      <c r="K264">
        <v>6.29</v>
      </c>
      <c r="L264">
        <v>1.2</v>
      </c>
      <c r="M264">
        <v>9</v>
      </c>
      <c r="N264">
        <v>457</v>
      </c>
      <c r="O264" s="3">
        <f t="shared" si="8"/>
        <v>25080160</v>
      </c>
      <c r="P264" s="3">
        <f t="shared" si="9"/>
        <v>24743098</v>
      </c>
    </row>
    <row r="265" spans="1:16">
      <c r="A265">
        <v>2017</v>
      </c>
      <c r="B265" t="s">
        <v>35</v>
      </c>
      <c r="C265" t="s">
        <v>40</v>
      </c>
      <c r="D265" t="s">
        <v>41</v>
      </c>
      <c r="E265" t="s">
        <v>23</v>
      </c>
      <c r="F265" t="s">
        <v>33</v>
      </c>
      <c r="G265" s="3">
        <v>79439</v>
      </c>
      <c r="H265" s="3">
        <v>484352</v>
      </c>
      <c r="I265">
        <v>11</v>
      </c>
      <c r="J265" s="3">
        <v>0.97</v>
      </c>
      <c r="K265">
        <v>6.29</v>
      </c>
      <c r="L265">
        <v>1.2</v>
      </c>
      <c r="M265">
        <v>7</v>
      </c>
      <c r="N265">
        <v>420</v>
      </c>
      <c r="O265" s="3">
        <f t="shared" si="8"/>
        <v>33364380</v>
      </c>
      <c r="P265" s="3">
        <f t="shared" si="9"/>
        <v>32880028</v>
      </c>
    </row>
    <row r="266" spans="1:16">
      <c r="A266">
        <v>2023</v>
      </c>
      <c r="B266" t="s">
        <v>49</v>
      </c>
      <c r="C266" t="s">
        <v>45</v>
      </c>
      <c r="D266" t="s">
        <v>52</v>
      </c>
      <c r="E266" t="s">
        <v>19</v>
      </c>
      <c r="F266" t="s">
        <v>20</v>
      </c>
      <c r="G266" s="3">
        <v>49308</v>
      </c>
      <c r="H266" s="3">
        <v>426970</v>
      </c>
      <c r="I266">
        <v>392</v>
      </c>
      <c r="J266" s="3">
        <v>0.97</v>
      </c>
      <c r="K266">
        <v>6.29</v>
      </c>
      <c r="L266">
        <v>1.2</v>
      </c>
      <c r="M266">
        <v>10</v>
      </c>
      <c r="N266">
        <v>897</v>
      </c>
      <c r="O266" s="3">
        <f t="shared" si="8"/>
        <v>44229276</v>
      </c>
      <c r="P266" s="3">
        <f t="shared" si="9"/>
        <v>43802306</v>
      </c>
    </row>
    <row r="267" spans="1:16">
      <c r="A267">
        <v>2018</v>
      </c>
      <c r="B267" t="s">
        <v>43</v>
      </c>
      <c r="C267" t="s">
        <v>31</v>
      </c>
      <c r="D267" t="s">
        <v>27</v>
      </c>
      <c r="E267" t="s">
        <v>23</v>
      </c>
      <c r="F267" t="s">
        <v>28</v>
      </c>
      <c r="G267" s="3">
        <v>70081</v>
      </c>
      <c r="H267" s="3">
        <v>164881</v>
      </c>
      <c r="I267">
        <v>141</v>
      </c>
      <c r="J267" s="3">
        <v>0.97</v>
      </c>
      <c r="K267">
        <v>6.29</v>
      </c>
      <c r="L267">
        <v>1.2</v>
      </c>
      <c r="M267">
        <v>9</v>
      </c>
      <c r="N267">
        <v>529</v>
      </c>
      <c r="O267" s="3">
        <f t="shared" si="8"/>
        <v>37072849</v>
      </c>
      <c r="P267" s="3">
        <f t="shared" si="9"/>
        <v>36907968</v>
      </c>
    </row>
    <row r="268" spans="1:16">
      <c r="A268">
        <v>2015</v>
      </c>
      <c r="B268" t="s">
        <v>37</v>
      </c>
      <c r="C268" t="s">
        <v>31</v>
      </c>
      <c r="D268" t="s">
        <v>41</v>
      </c>
      <c r="E268" t="s">
        <v>23</v>
      </c>
      <c r="F268" t="s">
        <v>20</v>
      </c>
      <c r="G268" s="3">
        <v>110242</v>
      </c>
      <c r="H268" s="3">
        <v>495625</v>
      </c>
      <c r="I268">
        <v>285</v>
      </c>
      <c r="J268" s="3">
        <v>0.97</v>
      </c>
      <c r="K268">
        <v>6.29</v>
      </c>
      <c r="L268">
        <v>1.2</v>
      </c>
      <c r="M268">
        <v>7</v>
      </c>
      <c r="N268">
        <v>943</v>
      </c>
      <c r="O268" s="3">
        <f t="shared" si="8"/>
        <v>103958206</v>
      </c>
      <c r="P268" s="3">
        <f t="shared" si="9"/>
        <v>103462581</v>
      </c>
    </row>
    <row r="269" spans="1:16">
      <c r="A269">
        <v>2018</v>
      </c>
      <c r="B269" t="s">
        <v>29</v>
      </c>
      <c r="C269" t="s">
        <v>26</v>
      </c>
      <c r="D269" t="s">
        <v>52</v>
      </c>
      <c r="E269" t="s">
        <v>19</v>
      </c>
      <c r="F269" t="s">
        <v>33</v>
      </c>
      <c r="G269" s="3">
        <v>85383</v>
      </c>
      <c r="H269" s="3">
        <v>327721</v>
      </c>
      <c r="I269">
        <v>126</v>
      </c>
      <c r="J269" s="3">
        <v>0.97</v>
      </c>
      <c r="K269">
        <v>6.29</v>
      </c>
      <c r="L269">
        <v>1.2</v>
      </c>
      <c r="M269">
        <v>2</v>
      </c>
      <c r="N269">
        <v>634</v>
      </c>
      <c r="O269" s="3">
        <f t="shared" si="8"/>
        <v>54132822</v>
      </c>
      <c r="P269" s="3">
        <f t="shared" si="9"/>
        <v>53805101</v>
      </c>
    </row>
    <row r="270" spans="1:16">
      <c r="A270">
        <v>2015</v>
      </c>
      <c r="B270" t="s">
        <v>21</v>
      </c>
      <c r="C270" t="s">
        <v>38</v>
      </c>
      <c r="D270" t="s">
        <v>39</v>
      </c>
      <c r="E270" t="s">
        <v>23</v>
      </c>
      <c r="F270" t="s">
        <v>33</v>
      </c>
      <c r="G270" s="3">
        <v>44837</v>
      </c>
      <c r="H270" s="3">
        <v>397299</v>
      </c>
      <c r="I270">
        <v>173</v>
      </c>
      <c r="J270" s="3">
        <v>0.97</v>
      </c>
      <c r="K270">
        <v>6.29</v>
      </c>
      <c r="L270">
        <v>1.2</v>
      </c>
      <c r="M270">
        <v>6</v>
      </c>
      <c r="N270">
        <v>670</v>
      </c>
      <c r="O270" s="3">
        <f t="shared" si="8"/>
        <v>30040790</v>
      </c>
      <c r="P270" s="3">
        <f t="shared" si="9"/>
        <v>29643491</v>
      </c>
    </row>
    <row r="271" spans="1:16">
      <c r="A271">
        <v>2019</v>
      </c>
      <c r="B271" t="s">
        <v>29</v>
      </c>
      <c r="C271" t="s">
        <v>34</v>
      </c>
      <c r="D271" t="s">
        <v>42</v>
      </c>
      <c r="E271" t="s">
        <v>19</v>
      </c>
      <c r="F271" t="s">
        <v>28</v>
      </c>
      <c r="G271" s="3">
        <v>87151</v>
      </c>
      <c r="H271" s="3">
        <v>161776</v>
      </c>
      <c r="I271">
        <v>297</v>
      </c>
      <c r="J271" s="3">
        <v>0.97</v>
      </c>
      <c r="K271">
        <v>6.29</v>
      </c>
      <c r="L271">
        <v>1.2</v>
      </c>
      <c r="M271">
        <v>10</v>
      </c>
      <c r="N271">
        <v>1001</v>
      </c>
      <c r="O271" s="3">
        <f t="shared" si="8"/>
        <v>87238151</v>
      </c>
      <c r="P271" s="3">
        <f t="shared" si="9"/>
        <v>87076375</v>
      </c>
    </row>
    <row r="272" spans="1:16">
      <c r="A272">
        <v>2018</v>
      </c>
      <c r="B272" t="s">
        <v>35</v>
      </c>
      <c r="C272" t="s">
        <v>51</v>
      </c>
      <c r="D272" t="s">
        <v>42</v>
      </c>
      <c r="E272" t="s">
        <v>19</v>
      </c>
      <c r="F272" t="s">
        <v>20</v>
      </c>
      <c r="G272" s="3">
        <v>71824</v>
      </c>
      <c r="H272" s="3">
        <v>411390</v>
      </c>
      <c r="I272">
        <v>37</v>
      </c>
      <c r="J272" s="3">
        <v>0.97</v>
      </c>
      <c r="K272">
        <v>6.29</v>
      </c>
      <c r="L272">
        <v>1.2</v>
      </c>
      <c r="M272">
        <v>4</v>
      </c>
      <c r="N272">
        <v>191</v>
      </c>
      <c r="O272" s="3">
        <f t="shared" si="8"/>
        <v>13718384</v>
      </c>
      <c r="P272" s="3">
        <f t="shared" si="9"/>
        <v>13306994</v>
      </c>
    </row>
    <row r="273" spans="1:16">
      <c r="A273">
        <v>2022</v>
      </c>
      <c r="B273" t="s">
        <v>16</v>
      </c>
      <c r="C273" t="s">
        <v>44</v>
      </c>
      <c r="D273" t="s">
        <v>36</v>
      </c>
      <c r="E273" t="s">
        <v>19</v>
      </c>
      <c r="F273" t="s">
        <v>24</v>
      </c>
      <c r="G273" s="3">
        <v>68073</v>
      </c>
      <c r="H273" s="3">
        <v>283996</v>
      </c>
      <c r="I273">
        <v>342</v>
      </c>
      <c r="J273" s="3">
        <v>0.97</v>
      </c>
      <c r="K273">
        <v>6.29</v>
      </c>
      <c r="L273">
        <v>1.2</v>
      </c>
      <c r="M273">
        <v>3</v>
      </c>
      <c r="N273">
        <v>937</v>
      </c>
      <c r="O273" s="3">
        <f t="shared" si="8"/>
        <v>63784401</v>
      </c>
      <c r="P273" s="3">
        <f t="shared" si="9"/>
        <v>63500405</v>
      </c>
    </row>
    <row r="274" spans="1:16">
      <c r="A274">
        <v>2022</v>
      </c>
      <c r="B274" t="s">
        <v>29</v>
      </c>
      <c r="C274" t="s">
        <v>34</v>
      </c>
      <c r="D274" t="s">
        <v>18</v>
      </c>
      <c r="E274" t="s">
        <v>19</v>
      </c>
      <c r="F274" t="s">
        <v>24</v>
      </c>
      <c r="G274" s="3">
        <v>61299</v>
      </c>
      <c r="H274" s="3">
        <v>307831</v>
      </c>
      <c r="I274">
        <v>10</v>
      </c>
      <c r="J274" s="3">
        <v>0.97</v>
      </c>
      <c r="K274">
        <v>6.29</v>
      </c>
      <c r="L274">
        <v>1.2</v>
      </c>
      <c r="M274">
        <v>2</v>
      </c>
      <c r="N274">
        <v>471</v>
      </c>
      <c r="O274" s="3">
        <f t="shared" si="8"/>
        <v>28871829</v>
      </c>
      <c r="P274" s="3">
        <f t="shared" si="9"/>
        <v>28563998</v>
      </c>
    </row>
    <row r="275" spans="1:16">
      <c r="A275">
        <v>2021</v>
      </c>
      <c r="B275" t="s">
        <v>50</v>
      </c>
      <c r="C275" t="s">
        <v>45</v>
      </c>
      <c r="D275" t="s">
        <v>41</v>
      </c>
      <c r="E275" t="s">
        <v>23</v>
      </c>
      <c r="F275" t="s">
        <v>33</v>
      </c>
      <c r="G275" s="3">
        <v>93861</v>
      </c>
      <c r="H275" s="3">
        <v>262803</v>
      </c>
      <c r="I275">
        <v>197</v>
      </c>
      <c r="J275" s="3">
        <v>0.97</v>
      </c>
      <c r="K275">
        <v>6.29</v>
      </c>
      <c r="L275">
        <v>1.2</v>
      </c>
      <c r="M275">
        <v>6</v>
      </c>
      <c r="N275">
        <v>615</v>
      </c>
      <c r="O275" s="3">
        <f t="shared" si="8"/>
        <v>57724515</v>
      </c>
      <c r="P275" s="3">
        <f t="shared" si="9"/>
        <v>57461712</v>
      </c>
    </row>
    <row r="276" spans="1:16">
      <c r="A276">
        <v>2017</v>
      </c>
      <c r="B276" t="s">
        <v>21</v>
      </c>
      <c r="C276" t="s">
        <v>51</v>
      </c>
      <c r="D276" t="s">
        <v>39</v>
      </c>
      <c r="E276" t="s">
        <v>23</v>
      </c>
      <c r="F276" t="s">
        <v>28</v>
      </c>
      <c r="G276" s="3">
        <v>65063</v>
      </c>
      <c r="H276" s="3">
        <v>208761</v>
      </c>
      <c r="I276">
        <v>65</v>
      </c>
      <c r="J276" s="3">
        <v>0.97</v>
      </c>
      <c r="K276">
        <v>6.29</v>
      </c>
      <c r="L276">
        <v>1.2</v>
      </c>
      <c r="M276">
        <v>8</v>
      </c>
      <c r="N276">
        <v>245</v>
      </c>
      <c r="O276" s="3">
        <f t="shared" si="8"/>
        <v>15940435</v>
      </c>
      <c r="P276" s="3">
        <f t="shared" si="9"/>
        <v>15731674</v>
      </c>
    </row>
    <row r="277" spans="1:16">
      <c r="A277">
        <v>2015</v>
      </c>
      <c r="B277" t="s">
        <v>49</v>
      </c>
      <c r="C277" t="s">
        <v>46</v>
      </c>
      <c r="D277" t="s">
        <v>22</v>
      </c>
      <c r="E277" t="s">
        <v>23</v>
      </c>
      <c r="F277" t="s">
        <v>20</v>
      </c>
      <c r="G277" s="3">
        <v>104453</v>
      </c>
      <c r="H277" s="3">
        <v>192226</v>
      </c>
      <c r="I277">
        <v>44</v>
      </c>
      <c r="J277" s="3">
        <v>0.97</v>
      </c>
      <c r="K277">
        <v>6.29</v>
      </c>
      <c r="L277">
        <v>1.2</v>
      </c>
      <c r="M277">
        <v>6</v>
      </c>
      <c r="N277">
        <v>265</v>
      </c>
      <c r="O277" s="3">
        <f t="shared" si="8"/>
        <v>27680045</v>
      </c>
      <c r="P277" s="3">
        <f t="shared" si="9"/>
        <v>27487819</v>
      </c>
    </row>
    <row r="278" spans="1:16">
      <c r="A278">
        <v>2015</v>
      </c>
      <c r="B278" t="s">
        <v>48</v>
      </c>
      <c r="C278" t="s">
        <v>38</v>
      </c>
      <c r="D278" t="s">
        <v>41</v>
      </c>
      <c r="E278" t="s">
        <v>23</v>
      </c>
      <c r="F278" t="s">
        <v>20</v>
      </c>
      <c r="G278" s="3">
        <v>103472</v>
      </c>
      <c r="H278" s="3">
        <v>407092</v>
      </c>
      <c r="I278">
        <v>121</v>
      </c>
      <c r="J278" s="3">
        <v>0.97</v>
      </c>
      <c r="K278">
        <v>6.29</v>
      </c>
      <c r="L278">
        <v>1.2</v>
      </c>
      <c r="M278">
        <v>9</v>
      </c>
      <c r="N278">
        <v>313</v>
      </c>
      <c r="O278" s="3">
        <f t="shared" si="8"/>
        <v>32386736</v>
      </c>
      <c r="P278" s="3">
        <f t="shared" si="9"/>
        <v>31979644</v>
      </c>
    </row>
    <row r="279" spans="1:16">
      <c r="A279">
        <v>2017</v>
      </c>
      <c r="B279" t="s">
        <v>53</v>
      </c>
      <c r="C279" t="s">
        <v>46</v>
      </c>
      <c r="D279" t="s">
        <v>27</v>
      </c>
      <c r="E279" t="s">
        <v>23</v>
      </c>
      <c r="F279" t="s">
        <v>33</v>
      </c>
      <c r="G279" s="3">
        <v>49506</v>
      </c>
      <c r="H279" s="3">
        <v>71341</v>
      </c>
      <c r="I279">
        <v>295</v>
      </c>
      <c r="J279" s="3">
        <v>0.97</v>
      </c>
      <c r="K279">
        <v>6.29</v>
      </c>
      <c r="L279">
        <v>1.2</v>
      </c>
      <c r="M279">
        <v>5</v>
      </c>
      <c r="N279">
        <v>674</v>
      </c>
      <c r="O279" s="3">
        <f t="shared" si="8"/>
        <v>33367044</v>
      </c>
      <c r="P279" s="3">
        <f t="shared" si="9"/>
        <v>33295703</v>
      </c>
    </row>
    <row r="280" spans="1:16">
      <c r="A280">
        <v>2020</v>
      </c>
      <c r="B280" t="s">
        <v>50</v>
      </c>
      <c r="C280" t="s">
        <v>46</v>
      </c>
      <c r="D280" t="s">
        <v>18</v>
      </c>
      <c r="E280" t="s">
        <v>19</v>
      </c>
      <c r="F280" t="s">
        <v>33</v>
      </c>
      <c r="G280" s="3">
        <v>114854</v>
      </c>
      <c r="H280" s="3">
        <v>409698</v>
      </c>
      <c r="I280">
        <v>319</v>
      </c>
      <c r="J280" s="3">
        <v>0.97</v>
      </c>
      <c r="K280">
        <v>6.29</v>
      </c>
      <c r="L280">
        <v>1.2</v>
      </c>
      <c r="M280">
        <v>2</v>
      </c>
      <c r="N280">
        <v>807</v>
      </c>
      <c r="O280" s="3">
        <f t="shared" si="8"/>
        <v>92687178</v>
      </c>
      <c r="P280" s="3">
        <f t="shared" si="9"/>
        <v>92277480</v>
      </c>
    </row>
    <row r="281" spans="1:16">
      <c r="A281">
        <v>2021</v>
      </c>
      <c r="B281" t="s">
        <v>21</v>
      </c>
      <c r="C281" t="s">
        <v>40</v>
      </c>
      <c r="D281" t="s">
        <v>41</v>
      </c>
      <c r="E281" t="s">
        <v>23</v>
      </c>
      <c r="F281" t="s">
        <v>20</v>
      </c>
      <c r="G281" s="3">
        <v>61026</v>
      </c>
      <c r="H281" s="3">
        <v>255753</v>
      </c>
      <c r="I281">
        <v>45</v>
      </c>
      <c r="J281" s="3">
        <v>0.97</v>
      </c>
      <c r="K281">
        <v>6.29</v>
      </c>
      <c r="L281">
        <v>1.2</v>
      </c>
      <c r="M281">
        <v>8</v>
      </c>
      <c r="N281">
        <v>201</v>
      </c>
      <c r="O281" s="3">
        <f t="shared" si="8"/>
        <v>12266226</v>
      </c>
      <c r="P281" s="3">
        <f t="shared" si="9"/>
        <v>12010473</v>
      </c>
    </row>
    <row r="282" spans="1:16">
      <c r="A282">
        <v>2020</v>
      </c>
      <c r="B282" t="s">
        <v>48</v>
      </c>
      <c r="C282" t="s">
        <v>34</v>
      </c>
      <c r="D282" t="s">
        <v>39</v>
      </c>
      <c r="E282" t="s">
        <v>23</v>
      </c>
      <c r="F282" t="s">
        <v>20</v>
      </c>
      <c r="G282" s="3">
        <v>62672</v>
      </c>
      <c r="H282" s="3">
        <v>419942</v>
      </c>
      <c r="I282">
        <v>226</v>
      </c>
      <c r="J282" s="3">
        <v>0.97</v>
      </c>
      <c r="K282">
        <v>6.29</v>
      </c>
      <c r="L282">
        <v>1.2</v>
      </c>
      <c r="M282">
        <v>9</v>
      </c>
      <c r="N282">
        <v>848</v>
      </c>
      <c r="O282" s="3">
        <f t="shared" si="8"/>
        <v>53145856</v>
      </c>
      <c r="P282" s="3">
        <f t="shared" si="9"/>
        <v>52725914</v>
      </c>
    </row>
    <row r="283" spans="1:16">
      <c r="A283">
        <v>2020</v>
      </c>
      <c r="B283" t="s">
        <v>48</v>
      </c>
      <c r="C283" t="s">
        <v>44</v>
      </c>
      <c r="D283" t="s">
        <v>41</v>
      </c>
      <c r="E283" t="s">
        <v>23</v>
      </c>
      <c r="F283" t="s">
        <v>33</v>
      </c>
      <c r="G283" s="3">
        <v>73417</v>
      </c>
      <c r="H283" s="3">
        <v>358474</v>
      </c>
      <c r="I283">
        <v>89</v>
      </c>
      <c r="J283" s="3">
        <v>0.97</v>
      </c>
      <c r="K283">
        <v>6.29</v>
      </c>
      <c r="L283">
        <v>1.2</v>
      </c>
      <c r="M283">
        <v>10</v>
      </c>
      <c r="N283">
        <v>447</v>
      </c>
      <c r="O283" s="3">
        <f t="shared" si="8"/>
        <v>32817399</v>
      </c>
      <c r="P283" s="3">
        <f t="shared" si="9"/>
        <v>32458925</v>
      </c>
    </row>
    <row r="284" spans="1:16">
      <c r="A284">
        <v>2020</v>
      </c>
      <c r="B284" t="s">
        <v>37</v>
      </c>
      <c r="C284" t="s">
        <v>26</v>
      </c>
      <c r="D284" t="s">
        <v>27</v>
      </c>
      <c r="E284" t="s">
        <v>23</v>
      </c>
      <c r="F284" t="s">
        <v>20</v>
      </c>
      <c r="G284" s="3">
        <v>87413</v>
      </c>
      <c r="H284" s="3">
        <v>299141</v>
      </c>
      <c r="I284">
        <v>323</v>
      </c>
      <c r="J284" s="3">
        <v>0.97</v>
      </c>
      <c r="K284">
        <v>6.29</v>
      </c>
      <c r="L284">
        <v>1.2</v>
      </c>
      <c r="M284">
        <v>4</v>
      </c>
      <c r="N284">
        <v>1051</v>
      </c>
      <c r="O284" s="3">
        <f t="shared" si="8"/>
        <v>91871063</v>
      </c>
      <c r="P284" s="3">
        <f t="shared" si="9"/>
        <v>91571922</v>
      </c>
    </row>
    <row r="285" spans="1:16">
      <c r="A285">
        <v>2017</v>
      </c>
      <c r="B285" t="s">
        <v>21</v>
      </c>
      <c r="C285" t="s">
        <v>44</v>
      </c>
      <c r="D285" t="s">
        <v>22</v>
      </c>
      <c r="E285" t="s">
        <v>23</v>
      </c>
      <c r="F285" t="s">
        <v>24</v>
      </c>
      <c r="G285" s="3">
        <v>100066</v>
      </c>
      <c r="H285" s="3">
        <v>399903</v>
      </c>
      <c r="I285">
        <v>92</v>
      </c>
      <c r="J285" s="3">
        <v>0.97</v>
      </c>
      <c r="K285">
        <v>6.29</v>
      </c>
      <c r="L285">
        <v>1.2</v>
      </c>
      <c r="M285">
        <v>6</v>
      </c>
      <c r="N285">
        <v>436</v>
      </c>
      <c r="O285" s="3">
        <f t="shared" si="8"/>
        <v>43628776</v>
      </c>
      <c r="P285" s="3">
        <f t="shared" si="9"/>
        <v>43228873</v>
      </c>
    </row>
    <row r="286" spans="1:16">
      <c r="A286">
        <v>2020</v>
      </c>
      <c r="B286" t="s">
        <v>16</v>
      </c>
      <c r="C286" t="s">
        <v>46</v>
      </c>
      <c r="D286" t="s">
        <v>32</v>
      </c>
      <c r="E286" t="s">
        <v>19</v>
      </c>
      <c r="F286" t="s">
        <v>33</v>
      </c>
      <c r="G286" s="3">
        <v>94213</v>
      </c>
      <c r="H286" s="3">
        <v>249488</v>
      </c>
      <c r="I286">
        <v>74</v>
      </c>
      <c r="J286" s="3">
        <v>0.97</v>
      </c>
      <c r="K286">
        <v>6.29</v>
      </c>
      <c r="L286">
        <v>1.2</v>
      </c>
      <c r="M286">
        <v>10</v>
      </c>
      <c r="N286">
        <v>197</v>
      </c>
      <c r="O286" s="3">
        <f t="shared" si="8"/>
        <v>18559961</v>
      </c>
      <c r="P286" s="3">
        <f t="shared" si="9"/>
        <v>18310473</v>
      </c>
    </row>
    <row r="287" spans="1:16">
      <c r="A287">
        <v>2022</v>
      </c>
      <c r="B287" t="s">
        <v>43</v>
      </c>
      <c r="C287" t="s">
        <v>45</v>
      </c>
      <c r="D287" t="s">
        <v>30</v>
      </c>
      <c r="E287" t="s">
        <v>23</v>
      </c>
      <c r="F287" t="s">
        <v>20</v>
      </c>
      <c r="G287" s="3">
        <v>85971</v>
      </c>
      <c r="H287" s="3">
        <v>306139</v>
      </c>
      <c r="I287">
        <v>334</v>
      </c>
      <c r="J287" s="3">
        <v>0.97</v>
      </c>
      <c r="K287">
        <v>6.29</v>
      </c>
      <c r="L287">
        <v>1.2</v>
      </c>
      <c r="M287">
        <v>8</v>
      </c>
      <c r="N287">
        <v>1021</v>
      </c>
      <c r="O287" s="3">
        <f t="shared" si="8"/>
        <v>87776391</v>
      </c>
      <c r="P287" s="3">
        <f t="shared" si="9"/>
        <v>87470252</v>
      </c>
    </row>
    <row r="288" spans="1:16">
      <c r="A288">
        <v>2016</v>
      </c>
      <c r="B288" t="s">
        <v>35</v>
      </c>
      <c r="C288" t="s">
        <v>38</v>
      </c>
      <c r="D288" t="s">
        <v>22</v>
      </c>
      <c r="E288" t="s">
        <v>23</v>
      </c>
      <c r="F288" t="s">
        <v>33</v>
      </c>
      <c r="G288" s="3">
        <v>62281</v>
      </c>
      <c r="H288" s="3">
        <v>398951</v>
      </c>
      <c r="I288">
        <v>137</v>
      </c>
      <c r="J288" s="3">
        <v>0.97</v>
      </c>
      <c r="K288">
        <v>6.29</v>
      </c>
      <c r="L288">
        <v>1.2</v>
      </c>
      <c r="M288">
        <v>9</v>
      </c>
      <c r="N288">
        <v>640</v>
      </c>
      <c r="O288" s="3">
        <f t="shared" si="8"/>
        <v>39859840</v>
      </c>
      <c r="P288" s="3">
        <f t="shared" si="9"/>
        <v>39460889</v>
      </c>
    </row>
    <row r="289" spans="1:16">
      <c r="A289">
        <v>2019</v>
      </c>
      <c r="B289" t="s">
        <v>35</v>
      </c>
      <c r="C289" t="s">
        <v>17</v>
      </c>
      <c r="D289" t="s">
        <v>52</v>
      </c>
      <c r="E289" t="s">
        <v>19</v>
      </c>
      <c r="F289" t="s">
        <v>28</v>
      </c>
      <c r="G289" s="3">
        <v>63091</v>
      </c>
      <c r="H289" s="3">
        <v>345457</v>
      </c>
      <c r="I289">
        <v>316</v>
      </c>
      <c r="J289" s="3">
        <v>0.97</v>
      </c>
      <c r="K289">
        <v>6.29</v>
      </c>
      <c r="L289">
        <v>1.2</v>
      </c>
      <c r="M289">
        <v>5</v>
      </c>
      <c r="N289">
        <v>1081</v>
      </c>
      <c r="O289" s="3">
        <f t="shared" si="8"/>
        <v>68201371</v>
      </c>
      <c r="P289" s="3">
        <f t="shared" si="9"/>
        <v>67855914</v>
      </c>
    </row>
    <row r="290" spans="1:16">
      <c r="A290">
        <v>2015</v>
      </c>
      <c r="B290" t="s">
        <v>49</v>
      </c>
      <c r="C290" t="s">
        <v>44</v>
      </c>
      <c r="D290" t="s">
        <v>41</v>
      </c>
      <c r="E290" t="s">
        <v>23</v>
      </c>
      <c r="F290" t="s">
        <v>33</v>
      </c>
      <c r="G290" s="3">
        <v>85494</v>
      </c>
      <c r="H290" s="3">
        <v>359044</v>
      </c>
      <c r="I290">
        <v>31</v>
      </c>
      <c r="J290" s="3">
        <v>0.97</v>
      </c>
      <c r="K290">
        <v>6.29</v>
      </c>
      <c r="L290">
        <v>1.2</v>
      </c>
      <c r="M290">
        <v>6</v>
      </c>
      <c r="N290">
        <v>100</v>
      </c>
      <c r="O290" s="3">
        <f t="shared" si="8"/>
        <v>8549400</v>
      </c>
      <c r="P290" s="3">
        <f t="shared" si="9"/>
        <v>8190356</v>
      </c>
    </row>
    <row r="291" spans="1:16">
      <c r="A291">
        <v>2015</v>
      </c>
      <c r="B291" t="s">
        <v>49</v>
      </c>
      <c r="C291" t="s">
        <v>46</v>
      </c>
      <c r="D291" t="s">
        <v>42</v>
      </c>
      <c r="E291" t="s">
        <v>19</v>
      </c>
      <c r="F291" t="s">
        <v>33</v>
      </c>
      <c r="G291" s="3">
        <v>53610</v>
      </c>
      <c r="H291" s="3">
        <v>128840</v>
      </c>
      <c r="I291">
        <v>225</v>
      </c>
      <c r="J291" s="3">
        <v>0.97</v>
      </c>
      <c r="K291">
        <v>6.29</v>
      </c>
      <c r="L291">
        <v>1.2</v>
      </c>
      <c r="M291">
        <v>4</v>
      </c>
      <c r="N291">
        <v>675</v>
      </c>
      <c r="O291" s="3">
        <f t="shared" si="8"/>
        <v>36186750</v>
      </c>
      <c r="P291" s="3">
        <f t="shared" si="9"/>
        <v>36057910</v>
      </c>
    </row>
    <row r="292" spans="1:16">
      <c r="A292">
        <v>2019</v>
      </c>
      <c r="B292" t="s">
        <v>35</v>
      </c>
      <c r="C292" t="s">
        <v>38</v>
      </c>
      <c r="D292" t="s">
        <v>36</v>
      </c>
      <c r="E292" t="s">
        <v>19</v>
      </c>
      <c r="F292" t="s">
        <v>28</v>
      </c>
      <c r="G292" s="3">
        <v>36079</v>
      </c>
      <c r="H292" s="3">
        <v>215767</v>
      </c>
      <c r="I292">
        <v>116</v>
      </c>
      <c r="J292" s="3">
        <v>0.97</v>
      </c>
      <c r="K292">
        <v>6.29</v>
      </c>
      <c r="L292">
        <v>1.2</v>
      </c>
      <c r="M292">
        <v>5</v>
      </c>
      <c r="N292">
        <v>351</v>
      </c>
      <c r="O292" s="3">
        <f t="shared" si="8"/>
        <v>12663729</v>
      </c>
      <c r="P292" s="3">
        <f t="shared" si="9"/>
        <v>12447962</v>
      </c>
    </row>
    <row r="293" spans="1:16">
      <c r="A293">
        <v>2017</v>
      </c>
      <c r="B293" t="s">
        <v>29</v>
      </c>
      <c r="C293" t="s">
        <v>51</v>
      </c>
      <c r="D293" t="s">
        <v>42</v>
      </c>
      <c r="E293" t="s">
        <v>19</v>
      </c>
      <c r="F293" t="s">
        <v>24</v>
      </c>
      <c r="G293" s="3">
        <v>81751</v>
      </c>
      <c r="H293" s="3">
        <v>211297</v>
      </c>
      <c r="I293">
        <v>118</v>
      </c>
      <c r="J293" s="3">
        <v>0.97</v>
      </c>
      <c r="K293">
        <v>6.29</v>
      </c>
      <c r="L293">
        <v>1.2</v>
      </c>
      <c r="M293">
        <v>7</v>
      </c>
      <c r="N293">
        <v>355</v>
      </c>
      <c r="O293" s="3">
        <f t="shared" si="8"/>
        <v>29021605</v>
      </c>
      <c r="P293" s="3">
        <f t="shared" si="9"/>
        <v>28810308</v>
      </c>
    </row>
    <row r="294" spans="1:16">
      <c r="A294">
        <v>2018</v>
      </c>
      <c r="B294" t="s">
        <v>16</v>
      </c>
      <c r="C294" t="s">
        <v>34</v>
      </c>
      <c r="D294" t="s">
        <v>22</v>
      </c>
      <c r="E294" t="s">
        <v>23</v>
      </c>
      <c r="F294" t="s">
        <v>20</v>
      </c>
      <c r="G294" s="3">
        <v>90432</v>
      </c>
      <c r="H294" s="3">
        <v>398216</v>
      </c>
      <c r="I294">
        <v>381</v>
      </c>
      <c r="J294" s="3">
        <v>0.97</v>
      </c>
      <c r="K294">
        <v>6.29</v>
      </c>
      <c r="L294">
        <v>1.2</v>
      </c>
      <c r="M294">
        <v>9</v>
      </c>
      <c r="N294">
        <v>1195</v>
      </c>
      <c r="O294" s="3">
        <f t="shared" si="8"/>
        <v>108066240</v>
      </c>
      <c r="P294" s="3">
        <f t="shared" si="9"/>
        <v>107668024</v>
      </c>
    </row>
    <row r="295" spans="1:16">
      <c r="A295">
        <v>2017</v>
      </c>
      <c r="B295" t="s">
        <v>29</v>
      </c>
      <c r="C295" t="s">
        <v>31</v>
      </c>
      <c r="D295" t="s">
        <v>42</v>
      </c>
      <c r="E295" t="s">
        <v>19</v>
      </c>
      <c r="F295" t="s">
        <v>28</v>
      </c>
      <c r="G295" s="3">
        <v>65951</v>
      </c>
      <c r="H295" s="3">
        <v>408511</v>
      </c>
      <c r="I295">
        <v>366</v>
      </c>
      <c r="J295" s="3">
        <v>0.97</v>
      </c>
      <c r="K295">
        <v>6.29</v>
      </c>
      <c r="L295">
        <v>1.2</v>
      </c>
      <c r="M295">
        <v>10</v>
      </c>
      <c r="N295">
        <v>811</v>
      </c>
      <c r="O295" s="3">
        <f t="shared" si="8"/>
        <v>53486261</v>
      </c>
      <c r="P295" s="3">
        <f t="shared" si="9"/>
        <v>53077750</v>
      </c>
    </row>
    <row r="296" spans="1:16">
      <c r="A296">
        <v>2015</v>
      </c>
      <c r="B296" t="s">
        <v>29</v>
      </c>
      <c r="C296" t="s">
        <v>40</v>
      </c>
      <c r="D296" t="s">
        <v>39</v>
      </c>
      <c r="E296" t="s">
        <v>23</v>
      </c>
      <c r="F296" t="s">
        <v>33</v>
      </c>
      <c r="G296" s="3">
        <v>115863</v>
      </c>
      <c r="H296" s="3">
        <v>99156</v>
      </c>
      <c r="I296">
        <v>190</v>
      </c>
      <c r="J296" s="3">
        <v>0.97</v>
      </c>
      <c r="K296">
        <v>6.29</v>
      </c>
      <c r="L296">
        <v>1.2</v>
      </c>
      <c r="M296">
        <v>6</v>
      </c>
      <c r="N296">
        <v>473</v>
      </c>
      <c r="O296" s="3">
        <f t="shared" si="8"/>
        <v>54803199</v>
      </c>
      <c r="P296" s="3">
        <f t="shared" si="9"/>
        <v>54704043</v>
      </c>
    </row>
    <row r="297" spans="1:16">
      <c r="A297">
        <v>2015</v>
      </c>
      <c r="B297" t="s">
        <v>53</v>
      </c>
      <c r="C297" t="s">
        <v>38</v>
      </c>
      <c r="D297" t="s">
        <v>42</v>
      </c>
      <c r="E297" t="s">
        <v>19</v>
      </c>
      <c r="F297" t="s">
        <v>20</v>
      </c>
      <c r="G297" s="3">
        <v>113291</v>
      </c>
      <c r="H297" s="3">
        <v>258281</v>
      </c>
      <c r="I297">
        <v>365</v>
      </c>
      <c r="J297" s="3">
        <v>0.97</v>
      </c>
      <c r="K297">
        <v>6.29</v>
      </c>
      <c r="L297">
        <v>1.2</v>
      </c>
      <c r="M297">
        <v>6</v>
      </c>
      <c r="N297">
        <v>1027</v>
      </c>
      <c r="O297" s="3">
        <f t="shared" si="8"/>
        <v>116349857</v>
      </c>
      <c r="P297" s="3">
        <f t="shared" si="9"/>
        <v>116091576</v>
      </c>
    </row>
    <row r="298" spans="1:16">
      <c r="A298">
        <v>2019</v>
      </c>
      <c r="B298" t="s">
        <v>47</v>
      </c>
      <c r="C298" t="s">
        <v>45</v>
      </c>
      <c r="D298" t="s">
        <v>18</v>
      </c>
      <c r="E298" t="s">
        <v>19</v>
      </c>
      <c r="F298" t="s">
        <v>28</v>
      </c>
      <c r="G298" s="3">
        <v>94872</v>
      </c>
      <c r="H298" s="3">
        <v>137453</v>
      </c>
      <c r="I298">
        <v>173</v>
      </c>
      <c r="J298" s="3">
        <v>0.97</v>
      </c>
      <c r="K298">
        <v>6.29</v>
      </c>
      <c r="L298">
        <v>1.2</v>
      </c>
      <c r="M298">
        <v>8</v>
      </c>
      <c r="N298">
        <v>505</v>
      </c>
      <c r="O298" s="3">
        <f t="shared" si="8"/>
        <v>47910360</v>
      </c>
      <c r="P298" s="3">
        <f t="shared" si="9"/>
        <v>47772907</v>
      </c>
    </row>
    <row r="299" spans="1:16">
      <c r="A299">
        <v>2020</v>
      </c>
      <c r="B299" t="s">
        <v>43</v>
      </c>
      <c r="C299" t="s">
        <v>45</v>
      </c>
      <c r="D299" t="s">
        <v>32</v>
      </c>
      <c r="E299" t="s">
        <v>19</v>
      </c>
      <c r="F299" t="s">
        <v>20</v>
      </c>
      <c r="G299" s="3">
        <v>42235</v>
      </c>
      <c r="H299" s="3">
        <v>208901</v>
      </c>
      <c r="I299">
        <v>77</v>
      </c>
      <c r="J299" s="3">
        <v>0.97</v>
      </c>
      <c r="K299">
        <v>6.29</v>
      </c>
      <c r="L299">
        <v>1.2</v>
      </c>
      <c r="M299">
        <v>4</v>
      </c>
      <c r="N299">
        <v>369</v>
      </c>
      <c r="O299" s="3">
        <f t="shared" si="8"/>
        <v>15584715</v>
      </c>
      <c r="P299" s="3">
        <f t="shared" si="9"/>
        <v>15375814</v>
      </c>
    </row>
    <row r="300" spans="1:16">
      <c r="A300">
        <v>2017</v>
      </c>
      <c r="B300" t="s">
        <v>53</v>
      </c>
      <c r="C300" t="s">
        <v>38</v>
      </c>
      <c r="D300" t="s">
        <v>41</v>
      </c>
      <c r="E300" t="s">
        <v>23</v>
      </c>
      <c r="F300" t="s">
        <v>20</v>
      </c>
      <c r="G300" s="3">
        <v>117733</v>
      </c>
      <c r="H300" s="3">
        <v>75938</v>
      </c>
      <c r="I300">
        <v>301</v>
      </c>
      <c r="J300" s="3">
        <v>0.97</v>
      </c>
      <c r="K300">
        <v>6.29</v>
      </c>
      <c r="L300">
        <v>1.2</v>
      </c>
      <c r="M300">
        <v>3</v>
      </c>
      <c r="N300">
        <v>782</v>
      </c>
      <c r="O300" s="3">
        <f t="shared" si="8"/>
        <v>92067206</v>
      </c>
      <c r="P300" s="3">
        <f t="shared" si="9"/>
        <v>91991268</v>
      </c>
    </row>
    <row r="301" spans="1:16">
      <c r="A301">
        <v>2023</v>
      </c>
      <c r="B301" t="s">
        <v>37</v>
      </c>
      <c r="C301" t="s">
        <v>45</v>
      </c>
      <c r="D301" t="s">
        <v>42</v>
      </c>
      <c r="E301" t="s">
        <v>19</v>
      </c>
      <c r="F301" t="s">
        <v>28</v>
      </c>
      <c r="G301" s="3">
        <v>97712</v>
      </c>
      <c r="H301" s="3">
        <v>109164</v>
      </c>
      <c r="I301">
        <v>189</v>
      </c>
      <c r="J301" s="3">
        <v>0.97</v>
      </c>
      <c r="K301">
        <v>6.29</v>
      </c>
      <c r="L301">
        <v>1.2</v>
      </c>
      <c r="M301">
        <v>7</v>
      </c>
      <c r="N301">
        <v>432</v>
      </c>
      <c r="O301" s="3">
        <f t="shared" si="8"/>
        <v>42211584</v>
      </c>
      <c r="P301" s="3">
        <f t="shared" si="9"/>
        <v>42102420</v>
      </c>
    </row>
    <row r="302" spans="1:16">
      <c r="A302">
        <v>2019</v>
      </c>
      <c r="B302" t="s">
        <v>47</v>
      </c>
      <c r="C302" t="s">
        <v>34</v>
      </c>
      <c r="D302" t="s">
        <v>27</v>
      </c>
      <c r="E302" t="s">
        <v>23</v>
      </c>
      <c r="F302" t="s">
        <v>20</v>
      </c>
      <c r="G302" s="3">
        <v>56473</v>
      </c>
      <c r="H302" s="3">
        <v>497746</v>
      </c>
      <c r="I302">
        <v>190</v>
      </c>
      <c r="J302" s="3">
        <v>0.97</v>
      </c>
      <c r="K302">
        <v>6.29</v>
      </c>
      <c r="L302">
        <v>1.2</v>
      </c>
      <c r="M302">
        <v>5</v>
      </c>
      <c r="N302">
        <v>773</v>
      </c>
      <c r="O302" s="3">
        <f t="shared" si="8"/>
        <v>43653629</v>
      </c>
      <c r="P302" s="3">
        <f t="shared" si="9"/>
        <v>43155883</v>
      </c>
    </row>
    <row r="303" spans="1:16">
      <c r="A303">
        <v>2022</v>
      </c>
      <c r="B303" t="s">
        <v>47</v>
      </c>
      <c r="C303" t="s">
        <v>45</v>
      </c>
      <c r="D303" t="s">
        <v>32</v>
      </c>
      <c r="E303" t="s">
        <v>19</v>
      </c>
      <c r="F303" t="s">
        <v>24</v>
      </c>
      <c r="G303" s="3">
        <v>102567</v>
      </c>
      <c r="H303" s="3">
        <v>249271</v>
      </c>
      <c r="I303">
        <v>178</v>
      </c>
      <c r="J303" s="3">
        <v>0.97</v>
      </c>
      <c r="K303">
        <v>6.29</v>
      </c>
      <c r="L303">
        <v>1.2</v>
      </c>
      <c r="M303">
        <v>2</v>
      </c>
      <c r="N303">
        <v>554</v>
      </c>
      <c r="O303" s="3">
        <f t="shared" si="8"/>
        <v>56822118</v>
      </c>
      <c r="P303" s="3">
        <f t="shared" si="9"/>
        <v>56572847</v>
      </c>
    </row>
    <row r="304" spans="1:16">
      <c r="A304">
        <v>2015</v>
      </c>
      <c r="B304" t="s">
        <v>21</v>
      </c>
      <c r="C304" t="s">
        <v>44</v>
      </c>
      <c r="D304" t="s">
        <v>32</v>
      </c>
      <c r="E304" t="s">
        <v>19</v>
      </c>
      <c r="F304" t="s">
        <v>28</v>
      </c>
      <c r="G304" s="3">
        <v>114823</v>
      </c>
      <c r="H304" s="3">
        <v>110282</v>
      </c>
      <c r="I304">
        <v>31</v>
      </c>
      <c r="J304" s="3">
        <v>0.97</v>
      </c>
      <c r="K304">
        <v>6.29</v>
      </c>
      <c r="L304">
        <v>1.2</v>
      </c>
      <c r="M304">
        <v>2</v>
      </c>
      <c r="N304">
        <v>398</v>
      </c>
      <c r="O304" s="3">
        <f t="shared" si="8"/>
        <v>45699554</v>
      </c>
      <c r="P304" s="3">
        <f t="shared" si="9"/>
        <v>45589272</v>
      </c>
    </row>
    <row r="305" spans="1:16">
      <c r="A305">
        <v>2019</v>
      </c>
      <c r="B305" t="s">
        <v>16</v>
      </c>
      <c r="C305" t="s">
        <v>31</v>
      </c>
      <c r="D305" t="s">
        <v>42</v>
      </c>
      <c r="E305" t="s">
        <v>19</v>
      </c>
      <c r="F305" t="s">
        <v>24</v>
      </c>
      <c r="G305" s="3">
        <v>67230</v>
      </c>
      <c r="H305" s="3">
        <v>359945</v>
      </c>
      <c r="I305">
        <v>75</v>
      </c>
      <c r="J305" s="3">
        <v>0.97</v>
      </c>
      <c r="K305">
        <v>6.29</v>
      </c>
      <c r="L305">
        <v>1.2</v>
      </c>
      <c r="M305">
        <v>6</v>
      </c>
      <c r="N305">
        <v>424</v>
      </c>
      <c r="O305" s="3">
        <f t="shared" si="8"/>
        <v>28505520</v>
      </c>
      <c r="P305" s="3">
        <f t="shared" si="9"/>
        <v>28145575</v>
      </c>
    </row>
    <row r="306" spans="1:16">
      <c r="A306">
        <v>2017</v>
      </c>
      <c r="B306" t="s">
        <v>16</v>
      </c>
      <c r="C306" t="s">
        <v>45</v>
      </c>
      <c r="D306" t="s">
        <v>32</v>
      </c>
      <c r="E306" t="s">
        <v>19</v>
      </c>
      <c r="F306" t="s">
        <v>33</v>
      </c>
      <c r="G306" s="3">
        <v>119573</v>
      </c>
      <c r="H306" s="3">
        <v>452681</v>
      </c>
      <c r="I306">
        <v>30</v>
      </c>
      <c r="J306" s="3">
        <v>0.97</v>
      </c>
      <c r="K306">
        <v>6.29</v>
      </c>
      <c r="L306">
        <v>1.2</v>
      </c>
      <c r="M306">
        <v>8</v>
      </c>
      <c r="N306">
        <v>67</v>
      </c>
      <c r="O306" s="3">
        <f t="shared" si="8"/>
        <v>8011391</v>
      </c>
      <c r="P306" s="3">
        <f t="shared" si="9"/>
        <v>7558710</v>
      </c>
    </row>
    <row r="307" spans="1:16">
      <c r="A307">
        <v>2015</v>
      </c>
      <c r="B307" t="s">
        <v>47</v>
      </c>
      <c r="C307" t="s">
        <v>31</v>
      </c>
      <c r="D307" t="s">
        <v>36</v>
      </c>
      <c r="E307" t="s">
        <v>19</v>
      </c>
      <c r="F307" t="s">
        <v>20</v>
      </c>
      <c r="G307" s="3">
        <v>103876</v>
      </c>
      <c r="H307" s="3">
        <v>315470</v>
      </c>
      <c r="I307">
        <v>109</v>
      </c>
      <c r="J307" s="3">
        <v>0.97</v>
      </c>
      <c r="K307">
        <v>6.29</v>
      </c>
      <c r="L307">
        <v>1.2</v>
      </c>
      <c r="M307">
        <v>1</v>
      </c>
      <c r="N307">
        <v>540</v>
      </c>
      <c r="O307" s="3">
        <f t="shared" si="8"/>
        <v>56093040</v>
      </c>
      <c r="P307" s="3">
        <f t="shared" si="9"/>
        <v>55777570</v>
      </c>
    </row>
    <row r="308" spans="1:16">
      <c r="A308">
        <v>2018</v>
      </c>
      <c r="B308" t="s">
        <v>29</v>
      </c>
      <c r="C308" t="s">
        <v>46</v>
      </c>
      <c r="D308" t="s">
        <v>42</v>
      </c>
      <c r="E308" t="s">
        <v>19</v>
      </c>
      <c r="F308" t="s">
        <v>33</v>
      </c>
      <c r="G308" s="3">
        <v>75644</v>
      </c>
      <c r="H308" s="3">
        <v>446875</v>
      </c>
      <c r="I308">
        <v>393</v>
      </c>
      <c r="J308" s="3">
        <v>0.97</v>
      </c>
      <c r="K308">
        <v>6.29</v>
      </c>
      <c r="L308">
        <v>1.2</v>
      </c>
      <c r="M308">
        <v>6</v>
      </c>
      <c r="N308">
        <v>887</v>
      </c>
      <c r="O308" s="3">
        <f t="shared" si="8"/>
        <v>67096228</v>
      </c>
      <c r="P308" s="3">
        <f t="shared" si="9"/>
        <v>66649353</v>
      </c>
    </row>
    <row r="309" spans="1:16">
      <c r="A309">
        <v>2019</v>
      </c>
      <c r="B309" t="s">
        <v>21</v>
      </c>
      <c r="C309" t="s">
        <v>26</v>
      </c>
      <c r="D309" t="s">
        <v>39</v>
      </c>
      <c r="E309" t="s">
        <v>23</v>
      </c>
      <c r="F309" t="s">
        <v>33</v>
      </c>
      <c r="G309" s="3">
        <v>83664</v>
      </c>
      <c r="H309" s="3">
        <v>208666</v>
      </c>
      <c r="I309">
        <v>309</v>
      </c>
      <c r="J309" s="3">
        <v>0.97</v>
      </c>
      <c r="K309">
        <v>6.29</v>
      </c>
      <c r="L309">
        <v>1.2</v>
      </c>
      <c r="M309">
        <v>2</v>
      </c>
      <c r="N309">
        <v>687</v>
      </c>
      <c r="O309" s="3">
        <f t="shared" si="8"/>
        <v>57477168</v>
      </c>
      <c r="P309" s="3">
        <f t="shared" si="9"/>
        <v>57268502</v>
      </c>
    </row>
    <row r="310" spans="1:16">
      <c r="A310">
        <v>2021</v>
      </c>
      <c r="B310" t="s">
        <v>43</v>
      </c>
      <c r="C310" t="s">
        <v>34</v>
      </c>
      <c r="D310" t="s">
        <v>22</v>
      </c>
      <c r="E310" t="s">
        <v>23</v>
      </c>
      <c r="F310" t="s">
        <v>20</v>
      </c>
      <c r="G310" s="3">
        <v>80203</v>
      </c>
      <c r="H310" s="3">
        <v>165819</v>
      </c>
      <c r="I310">
        <v>112</v>
      </c>
      <c r="J310" s="3">
        <v>0.97</v>
      </c>
      <c r="K310">
        <v>6.29</v>
      </c>
      <c r="L310">
        <v>1.2</v>
      </c>
      <c r="M310">
        <v>2</v>
      </c>
      <c r="N310">
        <v>514</v>
      </c>
      <c r="O310" s="3">
        <f t="shared" si="8"/>
        <v>41224342</v>
      </c>
      <c r="P310" s="3">
        <f t="shared" si="9"/>
        <v>41058523</v>
      </c>
    </row>
    <row r="311" spans="1:16">
      <c r="A311">
        <v>2015</v>
      </c>
      <c r="B311" t="s">
        <v>47</v>
      </c>
      <c r="C311" t="s">
        <v>26</v>
      </c>
      <c r="D311" t="s">
        <v>18</v>
      </c>
      <c r="E311" t="s">
        <v>19</v>
      </c>
      <c r="F311" t="s">
        <v>28</v>
      </c>
      <c r="G311" s="3">
        <v>101677</v>
      </c>
      <c r="H311" s="3">
        <v>316907</v>
      </c>
      <c r="I311">
        <v>56</v>
      </c>
      <c r="J311" s="3">
        <v>0.97</v>
      </c>
      <c r="K311">
        <v>6.29</v>
      </c>
      <c r="L311">
        <v>1.2</v>
      </c>
      <c r="M311">
        <v>7</v>
      </c>
      <c r="N311">
        <v>255</v>
      </c>
      <c r="O311" s="3">
        <f t="shared" si="8"/>
        <v>25927635</v>
      </c>
      <c r="P311" s="3">
        <f t="shared" si="9"/>
        <v>25610728</v>
      </c>
    </row>
    <row r="312" spans="1:16">
      <c r="A312">
        <v>2017</v>
      </c>
      <c r="B312" t="s">
        <v>50</v>
      </c>
      <c r="C312" t="s">
        <v>46</v>
      </c>
      <c r="D312" t="s">
        <v>30</v>
      </c>
      <c r="E312" t="s">
        <v>23</v>
      </c>
      <c r="F312" t="s">
        <v>20</v>
      </c>
      <c r="G312" s="3">
        <v>60425</v>
      </c>
      <c r="H312" s="3">
        <v>191900</v>
      </c>
      <c r="I312">
        <v>48</v>
      </c>
      <c r="J312" s="3">
        <v>0.97</v>
      </c>
      <c r="K312">
        <v>6.29</v>
      </c>
      <c r="L312">
        <v>1.2</v>
      </c>
      <c r="M312">
        <v>10</v>
      </c>
      <c r="N312">
        <v>302</v>
      </c>
      <c r="O312" s="3">
        <f t="shared" si="8"/>
        <v>18248350</v>
      </c>
      <c r="P312" s="3">
        <f t="shared" si="9"/>
        <v>18056450</v>
      </c>
    </row>
    <row r="313" spans="1:16">
      <c r="A313">
        <v>2016</v>
      </c>
      <c r="B313" t="s">
        <v>49</v>
      </c>
      <c r="C313" t="s">
        <v>34</v>
      </c>
      <c r="D313" t="s">
        <v>52</v>
      </c>
      <c r="E313" t="s">
        <v>19</v>
      </c>
      <c r="F313" t="s">
        <v>33</v>
      </c>
      <c r="G313" s="3">
        <v>119817</v>
      </c>
      <c r="H313" s="3">
        <v>359732</v>
      </c>
      <c r="I313">
        <v>294</v>
      </c>
      <c r="J313" s="3">
        <v>0.97</v>
      </c>
      <c r="K313">
        <v>6.29</v>
      </c>
      <c r="L313">
        <v>1.2</v>
      </c>
      <c r="M313">
        <v>1</v>
      </c>
      <c r="N313">
        <v>730</v>
      </c>
      <c r="O313" s="3">
        <f t="shared" si="8"/>
        <v>87466410</v>
      </c>
      <c r="P313" s="3">
        <f t="shared" si="9"/>
        <v>87106678</v>
      </c>
    </row>
    <row r="314" spans="1:16">
      <c r="A314">
        <v>2023</v>
      </c>
      <c r="B314" t="s">
        <v>49</v>
      </c>
      <c r="C314" t="s">
        <v>38</v>
      </c>
      <c r="D314" t="s">
        <v>32</v>
      </c>
      <c r="E314" t="s">
        <v>19</v>
      </c>
      <c r="F314" t="s">
        <v>33</v>
      </c>
      <c r="G314" s="3">
        <v>104806</v>
      </c>
      <c r="H314" s="3">
        <v>323365</v>
      </c>
      <c r="I314">
        <v>319</v>
      </c>
      <c r="J314" s="3">
        <v>0.97</v>
      </c>
      <c r="K314">
        <v>6.29</v>
      </c>
      <c r="L314">
        <v>1.2</v>
      </c>
      <c r="M314">
        <v>6</v>
      </c>
      <c r="N314">
        <v>847</v>
      </c>
      <c r="O314" s="3">
        <f t="shared" si="8"/>
        <v>88770682</v>
      </c>
      <c r="P314" s="3">
        <f t="shared" si="9"/>
        <v>88447317</v>
      </c>
    </row>
    <row r="315" spans="1:16">
      <c r="A315">
        <v>2024</v>
      </c>
      <c r="B315" t="s">
        <v>53</v>
      </c>
      <c r="C315" t="s">
        <v>38</v>
      </c>
      <c r="D315" t="s">
        <v>39</v>
      </c>
      <c r="E315" t="s">
        <v>23</v>
      </c>
      <c r="F315" t="s">
        <v>28</v>
      </c>
      <c r="G315" s="3">
        <v>77814</v>
      </c>
      <c r="H315" s="3">
        <v>454427</v>
      </c>
      <c r="I315">
        <v>99</v>
      </c>
      <c r="J315" s="3">
        <v>0.97</v>
      </c>
      <c r="K315">
        <v>6.29</v>
      </c>
      <c r="L315">
        <v>1.2</v>
      </c>
      <c r="M315">
        <v>7</v>
      </c>
      <c r="N315">
        <v>498</v>
      </c>
      <c r="O315" s="3">
        <f t="shared" si="8"/>
        <v>38751372</v>
      </c>
      <c r="P315" s="3">
        <f t="shared" si="9"/>
        <v>38296945</v>
      </c>
    </row>
    <row r="316" spans="1:16">
      <c r="A316">
        <v>2020</v>
      </c>
      <c r="B316" t="s">
        <v>37</v>
      </c>
      <c r="C316" t="s">
        <v>31</v>
      </c>
      <c r="D316" t="s">
        <v>41</v>
      </c>
      <c r="E316" t="s">
        <v>23</v>
      </c>
      <c r="F316" t="s">
        <v>20</v>
      </c>
      <c r="G316" s="3">
        <v>105219</v>
      </c>
      <c r="H316" s="3">
        <v>63569</v>
      </c>
      <c r="I316">
        <v>94</v>
      </c>
      <c r="J316" s="3">
        <v>0.97</v>
      </c>
      <c r="K316">
        <v>6.29</v>
      </c>
      <c r="L316">
        <v>1.2</v>
      </c>
      <c r="M316">
        <v>8</v>
      </c>
      <c r="N316">
        <v>176</v>
      </c>
      <c r="O316" s="3">
        <f t="shared" si="8"/>
        <v>18518544</v>
      </c>
      <c r="P316" s="3">
        <f t="shared" si="9"/>
        <v>18454975</v>
      </c>
    </row>
    <row r="317" spans="1:16">
      <c r="A317">
        <v>2024</v>
      </c>
      <c r="B317" t="s">
        <v>25</v>
      </c>
      <c r="C317" t="s">
        <v>46</v>
      </c>
      <c r="D317" t="s">
        <v>41</v>
      </c>
      <c r="E317" t="s">
        <v>23</v>
      </c>
      <c r="F317" t="s">
        <v>33</v>
      </c>
      <c r="G317" s="3">
        <v>84646</v>
      </c>
      <c r="H317" s="3">
        <v>277966</v>
      </c>
      <c r="I317">
        <v>282</v>
      </c>
      <c r="J317" s="3">
        <v>0.97</v>
      </c>
      <c r="K317">
        <v>6.29</v>
      </c>
      <c r="L317">
        <v>1.2</v>
      </c>
      <c r="M317">
        <v>7</v>
      </c>
      <c r="N317">
        <v>736</v>
      </c>
      <c r="O317" s="3">
        <f t="shared" si="8"/>
        <v>62299456</v>
      </c>
      <c r="P317" s="3">
        <f t="shared" si="9"/>
        <v>62021490</v>
      </c>
    </row>
    <row r="318" spans="1:16">
      <c r="A318">
        <v>2017</v>
      </c>
      <c r="B318" t="s">
        <v>25</v>
      </c>
      <c r="C318" t="s">
        <v>31</v>
      </c>
      <c r="D318" t="s">
        <v>52</v>
      </c>
      <c r="E318" t="s">
        <v>19</v>
      </c>
      <c r="F318" t="s">
        <v>24</v>
      </c>
      <c r="G318" s="3">
        <v>74884</v>
      </c>
      <c r="H318" s="3">
        <v>87860</v>
      </c>
      <c r="I318">
        <v>345</v>
      </c>
      <c r="J318" s="3">
        <v>0.97</v>
      </c>
      <c r="K318">
        <v>6.29</v>
      </c>
      <c r="L318">
        <v>1.2</v>
      </c>
      <c r="M318">
        <v>6</v>
      </c>
      <c r="N318">
        <v>836</v>
      </c>
      <c r="O318" s="3">
        <f t="shared" si="8"/>
        <v>62603024</v>
      </c>
      <c r="P318" s="3">
        <f t="shared" si="9"/>
        <v>62515164</v>
      </c>
    </row>
    <row r="319" spans="1:16">
      <c r="A319">
        <v>2022</v>
      </c>
      <c r="B319" t="s">
        <v>49</v>
      </c>
      <c r="C319" t="s">
        <v>40</v>
      </c>
      <c r="D319" t="s">
        <v>18</v>
      </c>
      <c r="E319" t="s">
        <v>19</v>
      </c>
      <c r="F319" t="s">
        <v>33</v>
      </c>
      <c r="G319" s="3">
        <v>104322</v>
      </c>
      <c r="H319" s="3">
        <v>252630</v>
      </c>
      <c r="I319">
        <v>197</v>
      </c>
      <c r="J319" s="3">
        <v>0.97</v>
      </c>
      <c r="K319">
        <v>6.29</v>
      </c>
      <c r="L319">
        <v>1.2</v>
      </c>
      <c r="M319">
        <v>9</v>
      </c>
      <c r="N319">
        <v>609</v>
      </c>
      <c r="O319" s="3">
        <f t="shared" si="8"/>
        <v>63532098</v>
      </c>
      <c r="P319" s="3">
        <f t="shared" si="9"/>
        <v>63279468</v>
      </c>
    </row>
    <row r="320" spans="1:16">
      <c r="A320">
        <v>2022</v>
      </c>
      <c r="B320" t="s">
        <v>48</v>
      </c>
      <c r="C320" t="s">
        <v>45</v>
      </c>
      <c r="D320" t="s">
        <v>32</v>
      </c>
      <c r="E320" t="s">
        <v>19</v>
      </c>
      <c r="F320" t="s">
        <v>33</v>
      </c>
      <c r="G320" s="3">
        <v>56650</v>
      </c>
      <c r="H320" s="3">
        <v>357481</v>
      </c>
      <c r="I320">
        <v>168</v>
      </c>
      <c r="J320" s="3">
        <v>0.97</v>
      </c>
      <c r="K320">
        <v>6.29</v>
      </c>
      <c r="L320">
        <v>1.2</v>
      </c>
      <c r="M320">
        <v>3</v>
      </c>
      <c r="N320">
        <v>753</v>
      </c>
      <c r="O320" s="3">
        <f t="shared" si="8"/>
        <v>42657450</v>
      </c>
      <c r="P320" s="3">
        <f t="shared" si="9"/>
        <v>42299969</v>
      </c>
    </row>
    <row r="321" spans="1:16">
      <c r="A321">
        <v>2016</v>
      </c>
      <c r="B321" t="s">
        <v>53</v>
      </c>
      <c r="C321" t="s">
        <v>17</v>
      </c>
      <c r="D321" t="s">
        <v>36</v>
      </c>
      <c r="E321" t="s">
        <v>19</v>
      </c>
      <c r="F321" t="s">
        <v>28</v>
      </c>
      <c r="G321" s="3">
        <v>44190</v>
      </c>
      <c r="H321" s="3">
        <v>495527</v>
      </c>
      <c r="I321">
        <v>252</v>
      </c>
      <c r="J321" s="3">
        <v>0.97</v>
      </c>
      <c r="K321">
        <v>6.29</v>
      </c>
      <c r="L321">
        <v>1.2</v>
      </c>
      <c r="M321">
        <v>6</v>
      </c>
      <c r="N321">
        <v>632</v>
      </c>
      <c r="O321" s="3">
        <f t="shared" si="8"/>
        <v>27928080</v>
      </c>
      <c r="P321" s="3">
        <f t="shared" si="9"/>
        <v>27432553</v>
      </c>
    </row>
    <row r="322" spans="1:16">
      <c r="A322">
        <v>2020</v>
      </c>
      <c r="B322" t="s">
        <v>25</v>
      </c>
      <c r="C322" t="s">
        <v>40</v>
      </c>
      <c r="D322" t="s">
        <v>52</v>
      </c>
      <c r="E322" t="s">
        <v>19</v>
      </c>
      <c r="F322" t="s">
        <v>24</v>
      </c>
      <c r="G322" s="3">
        <v>73196</v>
      </c>
      <c r="H322" s="3">
        <v>194587</v>
      </c>
      <c r="I322">
        <v>82</v>
      </c>
      <c r="J322" s="3">
        <v>0.97</v>
      </c>
      <c r="K322">
        <v>6.29</v>
      </c>
      <c r="L322">
        <v>1.2</v>
      </c>
      <c r="M322">
        <v>4</v>
      </c>
      <c r="N322">
        <v>531</v>
      </c>
      <c r="O322" s="3">
        <f t="shared" si="8"/>
        <v>38867076</v>
      </c>
      <c r="P322" s="3">
        <f t="shared" si="9"/>
        <v>38672489</v>
      </c>
    </row>
    <row r="323" spans="1:16">
      <c r="A323">
        <v>2021</v>
      </c>
      <c r="B323" t="s">
        <v>49</v>
      </c>
      <c r="C323" t="s">
        <v>45</v>
      </c>
      <c r="D323" t="s">
        <v>18</v>
      </c>
      <c r="E323" t="s">
        <v>19</v>
      </c>
      <c r="F323" t="s">
        <v>33</v>
      </c>
      <c r="G323" s="3">
        <v>74449</v>
      </c>
      <c r="H323" s="3">
        <v>121695</v>
      </c>
      <c r="I323">
        <v>58</v>
      </c>
      <c r="J323" s="3">
        <v>0.97</v>
      </c>
      <c r="K323">
        <v>6.29</v>
      </c>
      <c r="L323">
        <v>1.2</v>
      </c>
      <c r="M323">
        <v>2</v>
      </c>
      <c r="N323">
        <v>542</v>
      </c>
      <c r="O323" s="3">
        <f t="shared" ref="O323:O386" si="10">N323*G323</f>
        <v>40351358</v>
      </c>
      <c r="P323" s="3">
        <f t="shared" ref="P323:P386" si="11">O323-H323</f>
        <v>40229663</v>
      </c>
    </row>
    <row r="324" spans="1:16">
      <c r="A324">
        <v>2016</v>
      </c>
      <c r="B324" t="s">
        <v>37</v>
      </c>
      <c r="C324" t="s">
        <v>34</v>
      </c>
      <c r="D324" t="s">
        <v>32</v>
      </c>
      <c r="E324" t="s">
        <v>19</v>
      </c>
      <c r="F324" t="s">
        <v>33</v>
      </c>
      <c r="G324" s="3">
        <v>74661</v>
      </c>
      <c r="H324" s="3">
        <v>303078</v>
      </c>
      <c r="I324">
        <v>110</v>
      </c>
      <c r="J324" s="3">
        <v>0.97</v>
      </c>
      <c r="K324">
        <v>6.29</v>
      </c>
      <c r="L324">
        <v>1.2</v>
      </c>
      <c r="M324">
        <v>1</v>
      </c>
      <c r="N324">
        <v>529</v>
      </c>
      <c r="O324" s="3">
        <f t="shared" si="10"/>
        <v>39495669</v>
      </c>
      <c r="P324" s="3">
        <f t="shared" si="11"/>
        <v>39192591</v>
      </c>
    </row>
    <row r="325" spans="1:16">
      <c r="A325">
        <v>2024</v>
      </c>
      <c r="B325" t="s">
        <v>25</v>
      </c>
      <c r="C325" t="s">
        <v>31</v>
      </c>
      <c r="D325" t="s">
        <v>39</v>
      </c>
      <c r="E325" t="s">
        <v>23</v>
      </c>
      <c r="F325" t="s">
        <v>24</v>
      </c>
      <c r="G325" s="3">
        <v>64709</v>
      </c>
      <c r="H325" s="3">
        <v>292599</v>
      </c>
      <c r="I325">
        <v>11</v>
      </c>
      <c r="J325" s="3">
        <v>0.97</v>
      </c>
      <c r="K325">
        <v>6.29</v>
      </c>
      <c r="L325">
        <v>1.2</v>
      </c>
      <c r="M325">
        <v>1</v>
      </c>
      <c r="N325">
        <v>130</v>
      </c>
      <c r="O325" s="3">
        <f t="shared" si="10"/>
        <v>8412170</v>
      </c>
      <c r="P325" s="3">
        <f t="shared" si="11"/>
        <v>8119571</v>
      </c>
    </row>
    <row r="326" spans="1:16">
      <c r="A326">
        <v>2016</v>
      </c>
      <c r="B326" t="s">
        <v>29</v>
      </c>
      <c r="C326" t="s">
        <v>34</v>
      </c>
      <c r="D326" t="s">
        <v>22</v>
      </c>
      <c r="E326" t="s">
        <v>23</v>
      </c>
      <c r="F326" t="s">
        <v>20</v>
      </c>
      <c r="G326" s="3">
        <v>115428</v>
      </c>
      <c r="H326" s="3">
        <v>418893</v>
      </c>
      <c r="I326">
        <v>253</v>
      </c>
      <c r="J326" s="3">
        <v>0.97</v>
      </c>
      <c r="K326">
        <v>6.29</v>
      </c>
      <c r="L326">
        <v>1.2</v>
      </c>
      <c r="M326">
        <v>10</v>
      </c>
      <c r="N326">
        <v>533</v>
      </c>
      <c r="O326" s="3">
        <f t="shared" si="10"/>
        <v>61523124</v>
      </c>
      <c r="P326" s="3">
        <f t="shared" si="11"/>
        <v>61104231</v>
      </c>
    </row>
    <row r="327" spans="1:16">
      <c r="A327">
        <v>2024</v>
      </c>
      <c r="B327" t="s">
        <v>29</v>
      </c>
      <c r="C327" t="s">
        <v>34</v>
      </c>
      <c r="D327" t="s">
        <v>36</v>
      </c>
      <c r="E327" t="s">
        <v>19</v>
      </c>
      <c r="F327" t="s">
        <v>20</v>
      </c>
      <c r="G327" s="3">
        <v>110179</v>
      </c>
      <c r="H327" s="3">
        <v>205976</v>
      </c>
      <c r="I327">
        <v>185</v>
      </c>
      <c r="J327" s="3">
        <v>0.97</v>
      </c>
      <c r="K327">
        <v>6.29</v>
      </c>
      <c r="L327">
        <v>1.2</v>
      </c>
      <c r="M327">
        <v>3</v>
      </c>
      <c r="N327">
        <v>430</v>
      </c>
      <c r="O327" s="3">
        <f t="shared" si="10"/>
        <v>47376970</v>
      </c>
      <c r="P327" s="3">
        <f t="shared" si="11"/>
        <v>47170994</v>
      </c>
    </row>
    <row r="328" spans="1:16">
      <c r="A328">
        <v>2015</v>
      </c>
      <c r="B328" t="s">
        <v>16</v>
      </c>
      <c r="C328" t="s">
        <v>45</v>
      </c>
      <c r="D328" t="s">
        <v>30</v>
      </c>
      <c r="E328" t="s">
        <v>23</v>
      </c>
      <c r="F328" t="s">
        <v>33</v>
      </c>
      <c r="G328" s="3">
        <v>44943</v>
      </c>
      <c r="H328" s="3">
        <v>241007</v>
      </c>
      <c r="I328">
        <v>247</v>
      </c>
      <c r="J328" s="3">
        <v>0.97</v>
      </c>
      <c r="K328">
        <v>6.29</v>
      </c>
      <c r="L328">
        <v>1.2</v>
      </c>
      <c r="M328">
        <v>4</v>
      </c>
      <c r="N328">
        <v>647</v>
      </c>
      <c r="O328" s="3">
        <f t="shared" si="10"/>
        <v>29078121</v>
      </c>
      <c r="P328" s="3">
        <f t="shared" si="11"/>
        <v>28837114</v>
      </c>
    </row>
    <row r="329" spans="1:16">
      <c r="A329">
        <v>2022</v>
      </c>
      <c r="B329" t="s">
        <v>16</v>
      </c>
      <c r="C329" t="s">
        <v>46</v>
      </c>
      <c r="D329" t="s">
        <v>41</v>
      </c>
      <c r="E329" t="s">
        <v>23</v>
      </c>
      <c r="F329" t="s">
        <v>33</v>
      </c>
      <c r="G329" s="3">
        <v>78240</v>
      </c>
      <c r="H329" s="3">
        <v>355934</v>
      </c>
      <c r="I329">
        <v>68</v>
      </c>
      <c r="J329" s="3">
        <v>0.97</v>
      </c>
      <c r="K329">
        <v>6.29</v>
      </c>
      <c r="L329">
        <v>1.2</v>
      </c>
      <c r="M329">
        <v>2</v>
      </c>
      <c r="N329">
        <v>520</v>
      </c>
      <c r="O329" s="3">
        <f t="shared" si="10"/>
        <v>40684800</v>
      </c>
      <c r="P329" s="3">
        <f t="shared" si="11"/>
        <v>40328866</v>
      </c>
    </row>
    <row r="330" spans="1:16">
      <c r="A330">
        <v>2015</v>
      </c>
      <c r="B330" t="s">
        <v>43</v>
      </c>
      <c r="C330" t="s">
        <v>45</v>
      </c>
      <c r="D330" t="s">
        <v>27</v>
      </c>
      <c r="E330" t="s">
        <v>23</v>
      </c>
      <c r="F330" t="s">
        <v>20</v>
      </c>
      <c r="G330" s="3">
        <v>80760</v>
      </c>
      <c r="H330" s="3">
        <v>380724</v>
      </c>
      <c r="I330">
        <v>362</v>
      </c>
      <c r="J330" s="3">
        <v>0.97</v>
      </c>
      <c r="K330">
        <v>6.29</v>
      </c>
      <c r="L330">
        <v>1.2</v>
      </c>
      <c r="M330">
        <v>1</v>
      </c>
      <c r="N330">
        <v>961</v>
      </c>
      <c r="O330" s="3">
        <f t="shared" si="10"/>
        <v>77610360</v>
      </c>
      <c r="P330" s="3">
        <f t="shared" si="11"/>
        <v>77229636</v>
      </c>
    </row>
    <row r="331" spans="1:16">
      <c r="A331">
        <v>2023</v>
      </c>
      <c r="B331" t="s">
        <v>47</v>
      </c>
      <c r="C331" t="s">
        <v>51</v>
      </c>
      <c r="D331" t="s">
        <v>39</v>
      </c>
      <c r="E331" t="s">
        <v>23</v>
      </c>
      <c r="F331" t="s">
        <v>28</v>
      </c>
      <c r="G331" s="3">
        <v>56042</v>
      </c>
      <c r="H331" s="3">
        <v>55636</v>
      </c>
      <c r="I331">
        <v>108</v>
      </c>
      <c r="J331" s="3">
        <v>0.97</v>
      </c>
      <c r="K331">
        <v>6.29</v>
      </c>
      <c r="L331">
        <v>1.2</v>
      </c>
      <c r="M331">
        <v>4</v>
      </c>
      <c r="N331">
        <v>552</v>
      </c>
      <c r="O331" s="3">
        <f t="shared" si="10"/>
        <v>30935184</v>
      </c>
      <c r="P331" s="3">
        <f t="shared" si="11"/>
        <v>30879548</v>
      </c>
    </row>
    <row r="332" spans="1:16">
      <c r="A332">
        <v>2020</v>
      </c>
      <c r="B332" t="s">
        <v>50</v>
      </c>
      <c r="C332" t="s">
        <v>38</v>
      </c>
      <c r="D332" t="s">
        <v>41</v>
      </c>
      <c r="E332" t="s">
        <v>23</v>
      </c>
      <c r="F332" t="s">
        <v>24</v>
      </c>
      <c r="G332" s="3">
        <v>78894</v>
      </c>
      <c r="H332" s="3">
        <v>311578</v>
      </c>
      <c r="I332">
        <v>368</v>
      </c>
      <c r="J332" s="3">
        <v>0.97</v>
      </c>
      <c r="K332">
        <v>6.29</v>
      </c>
      <c r="L332">
        <v>1.2</v>
      </c>
      <c r="M332">
        <v>7</v>
      </c>
      <c r="N332">
        <v>1150</v>
      </c>
      <c r="O332" s="3">
        <f t="shared" si="10"/>
        <v>90728100</v>
      </c>
      <c r="P332" s="3">
        <f t="shared" si="11"/>
        <v>90416522</v>
      </c>
    </row>
    <row r="333" spans="1:16">
      <c r="A333">
        <v>2021</v>
      </c>
      <c r="B333" t="s">
        <v>16</v>
      </c>
      <c r="C333" t="s">
        <v>38</v>
      </c>
      <c r="D333" t="s">
        <v>42</v>
      </c>
      <c r="E333" t="s">
        <v>19</v>
      </c>
      <c r="F333" t="s">
        <v>24</v>
      </c>
      <c r="G333" s="3">
        <v>41869</v>
      </c>
      <c r="H333" s="3">
        <v>389273</v>
      </c>
      <c r="I333">
        <v>11</v>
      </c>
      <c r="J333" s="3">
        <v>0.97</v>
      </c>
      <c r="K333">
        <v>6.29</v>
      </c>
      <c r="L333">
        <v>1.2</v>
      </c>
      <c r="M333">
        <v>10</v>
      </c>
      <c r="N333">
        <v>361</v>
      </c>
      <c r="O333" s="3">
        <f t="shared" si="10"/>
        <v>15114709</v>
      </c>
      <c r="P333" s="3">
        <f t="shared" si="11"/>
        <v>14725436</v>
      </c>
    </row>
    <row r="334" spans="1:16">
      <c r="A334">
        <v>2024</v>
      </c>
      <c r="B334" t="s">
        <v>25</v>
      </c>
      <c r="C334" t="s">
        <v>40</v>
      </c>
      <c r="D334" t="s">
        <v>27</v>
      </c>
      <c r="E334" t="s">
        <v>23</v>
      </c>
      <c r="F334" t="s">
        <v>28</v>
      </c>
      <c r="G334" s="3">
        <v>96078</v>
      </c>
      <c r="H334" s="3">
        <v>446108</v>
      </c>
      <c r="I334">
        <v>252</v>
      </c>
      <c r="J334" s="3">
        <v>0.97</v>
      </c>
      <c r="K334">
        <v>6.29</v>
      </c>
      <c r="L334">
        <v>1.2</v>
      </c>
      <c r="M334">
        <v>6</v>
      </c>
      <c r="N334">
        <v>630</v>
      </c>
      <c r="O334" s="3">
        <f t="shared" si="10"/>
        <v>60529140</v>
      </c>
      <c r="P334" s="3">
        <f t="shared" si="11"/>
        <v>60083032</v>
      </c>
    </row>
    <row r="335" spans="1:16">
      <c r="A335">
        <v>2021</v>
      </c>
      <c r="B335" t="s">
        <v>21</v>
      </c>
      <c r="C335" t="s">
        <v>38</v>
      </c>
      <c r="D335" t="s">
        <v>41</v>
      </c>
      <c r="E335" t="s">
        <v>23</v>
      </c>
      <c r="F335" t="s">
        <v>28</v>
      </c>
      <c r="G335" s="3">
        <v>91759</v>
      </c>
      <c r="H335" s="3">
        <v>333816</v>
      </c>
      <c r="I335">
        <v>306</v>
      </c>
      <c r="J335" s="3">
        <v>0.97</v>
      </c>
      <c r="K335">
        <v>6.29</v>
      </c>
      <c r="L335">
        <v>1.2</v>
      </c>
      <c r="M335">
        <v>6</v>
      </c>
      <c r="N335">
        <v>876</v>
      </c>
      <c r="O335" s="3">
        <f t="shared" si="10"/>
        <v>80380884</v>
      </c>
      <c r="P335" s="3">
        <f t="shared" si="11"/>
        <v>80047068</v>
      </c>
    </row>
    <row r="336" spans="1:16">
      <c r="A336">
        <v>2024</v>
      </c>
      <c r="B336" t="s">
        <v>49</v>
      </c>
      <c r="C336" t="s">
        <v>45</v>
      </c>
      <c r="D336" t="s">
        <v>18</v>
      </c>
      <c r="E336" t="s">
        <v>19</v>
      </c>
      <c r="F336" t="s">
        <v>28</v>
      </c>
      <c r="G336" s="3">
        <v>79306</v>
      </c>
      <c r="H336" s="3">
        <v>317956</v>
      </c>
      <c r="I336">
        <v>220</v>
      </c>
      <c r="J336" s="3">
        <v>0.97</v>
      </c>
      <c r="K336">
        <v>6.29</v>
      </c>
      <c r="L336">
        <v>1.2</v>
      </c>
      <c r="M336">
        <v>9</v>
      </c>
      <c r="N336">
        <v>525</v>
      </c>
      <c r="O336" s="3">
        <f t="shared" si="10"/>
        <v>41635650</v>
      </c>
      <c r="P336" s="3">
        <f t="shared" si="11"/>
        <v>41317694</v>
      </c>
    </row>
    <row r="337" spans="1:16">
      <c r="A337">
        <v>2017</v>
      </c>
      <c r="B337" t="s">
        <v>21</v>
      </c>
      <c r="C337" t="s">
        <v>44</v>
      </c>
      <c r="D337" t="s">
        <v>36</v>
      </c>
      <c r="E337" t="s">
        <v>19</v>
      </c>
      <c r="F337" t="s">
        <v>28</v>
      </c>
      <c r="G337" s="3">
        <v>90371</v>
      </c>
      <c r="H337" s="3">
        <v>277693</v>
      </c>
      <c r="I337">
        <v>132</v>
      </c>
      <c r="J337" s="3">
        <v>0.97</v>
      </c>
      <c r="K337">
        <v>6.29</v>
      </c>
      <c r="L337">
        <v>1.2</v>
      </c>
      <c r="M337">
        <v>2</v>
      </c>
      <c r="N337">
        <v>718</v>
      </c>
      <c r="O337" s="3">
        <f t="shared" si="10"/>
        <v>64886378</v>
      </c>
      <c r="P337" s="3">
        <f t="shared" si="11"/>
        <v>64608685</v>
      </c>
    </row>
    <row r="338" spans="1:16">
      <c r="A338">
        <v>2016</v>
      </c>
      <c r="B338" t="s">
        <v>37</v>
      </c>
      <c r="C338" t="s">
        <v>31</v>
      </c>
      <c r="D338" t="s">
        <v>41</v>
      </c>
      <c r="E338" t="s">
        <v>23</v>
      </c>
      <c r="F338" t="s">
        <v>28</v>
      </c>
      <c r="G338" s="3">
        <v>55918</v>
      </c>
      <c r="H338" s="3">
        <v>50654</v>
      </c>
      <c r="I338">
        <v>238</v>
      </c>
      <c r="J338" s="3">
        <v>0.97</v>
      </c>
      <c r="K338">
        <v>6.29</v>
      </c>
      <c r="L338">
        <v>1.2</v>
      </c>
      <c r="M338">
        <v>4</v>
      </c>
      <c r="N338">
        <v>680</v>
      </c>
      <c r="O338" s="3">
        <f t="shared" si="10"/>
        <v>38024240</v>
      </c>
      <c r="P338" s="3">
        <f t="shared" si="11"/>
        <v>37973586</v>
      </c>
    </row>
    <row r="339" spans="1:16">
      <c r="A339">
        <v>2023</v>
      </c>
      <c r="B339" t="s">
        <v>16</v>
      </c>
      <c r="C339" t="s">
        <v>45</v>
      </c>
      <c r="D339" t="s">
        <v>30</v>
      </c>
      <c r="E339" t="s">
        <v>23</v>
      </c>
      <c r="F339" t="s">
        <v>28</v>
      </c>
      <c r="G339" s="3">
        <v>63379</v>
      </c>
      <c r="H339" s="3">
        <v>104633</v>
      </c>
      <c r="I339">
        <v>91</v>
      </c>
      <c r="J339" s="3">
        <v>0.97</v>
      </c>
      <c r="K339">
        <v>6.29</v>
      </c>
      <c r="L339">
        <v>1.2</v>
      </c>
      <c r="M339">
        <v>5</v>
      </c>
      <c r="N339">
        <v>466</v>
      </c>
      <c r="O339" s="3">
        <f t="shared" si="10"/>
        <v>29534614</v>
      </c>
      <c r="P339" s="3">
        <f t="shared" si="11"/>
        <v>29429981</v>
      </c>
    </row>
    <row r="340" spans="1:16">
      <c r="A340">
        <v>2022</v>
      </c>
      <c r="B340" t="s">
        <v>50</v>
      </c>
      <c r="C340" t="s">
        <v>45</v>
      </c>
      <c r="D340" t="s">
        <v>22</v>
      </c>
      <c r="E340" t="s">
        <v>23</v>
      </c>
      <c r="F340" t="s">
        <v>24</v>
      </c>
      <c r="G340" s="3">
        <v>118232</v>
      </c>
      <c r="H340" s="3">
        <v>67143</v>
      </c>
      <c r="I340">
        <v>153</v>
      </c>
      <c r="J340" s="3">
        <v>0.97</v>
      </c>
      <c r="K340">
        <v>6.29</v>
      </c>
      <c r="L340">
        <v>1.2</v>
      </c>
      <c r="M340">
        <v>1</v>
      </c>
      <c r="N340">
        <v>497</v>
      </c>
      <c r="O340" s="3">
        <f t="shared" si="10"/>
        <v>58761304</v>
      </c>
      <c r="P340" s="3">
        <f t="shared" si="11"/>
        <v>58694161</v>
      </c>
    </row>
    <row r="341" spans="1:16">
      <c r="A341">
        <v>2024</v>
      </c>
      <c r="B341" t="s">
        <v>37</v>
      </c>
      <c r="C341" t="s">
        <v>17</v>
      </c>
      <c r="D341" t="s">
        <v>18</v>
      </c>
      <c r="E341" t="s">
        <v>19</v>
      </c>
      <c r="F341" t="s">
        <v>28</v>
      </c>
      <c r="G341" s="3">
        <v>37962</v>
      </c>
      <c r="H341" s="3">
        <v>105934</v>
      </c>
      <c r="I341">
        <v>397</v>
      </c>
      <c r="J341" s="3">
        <v>0.97</v>
      </c>
      <c r="K341">
        <v>6.29</v>
      </c>
      <c r="L341">
        <v>1.2</v>
      </c>
      <c r="M341">
        <v>8</v>
      </c>
      <c r="N341">
        <v>893</v>
      </c>
      <c r="O341" s="3">
        <f t="shared" si="10"/>
        <v>33900066</v>
      </c>
      <c r="P341" s="3">
        <f t="shared" si="11"/>
        <v>33794132</v>
      </c>
    </row>
    <row r="342" spans="1:16">
      <c r="A342">
        <v>2021</v>
      </c>
      <c r="B342" t="s">
        <v>48</v>
      </c>
      <c r="C342" t="s">
        <v>31</v>
      </c>
      <c r="D342" t="s">
        <v>39</v>
      </c>
      <c r="E342" t="s">
        <v>23</v>
      </c>
      <c r="F342" t="s">
        <v>20</v>
      </c>
      <c r="G342" s="3">
        <v>48851</v>
      </c>
      <c r="H342" s="3">
        <v>379478</v>
      </c>
      <c r="I342">
        <v>149</v>
      </c>
      <c r="J342" s="3">
        <v>0.97</v>
      </c>
      <c r="K342">
        <v>6.29</v>
      </c>
      <c r="L342">
        <v>1.2</v>
      </c>
      <c r="M342">
        <v>8</v>
      </c>
      <c r="N342">
        <v>347</v>
      </c>
      <c r="O342" s="3">
        <f t="shared" si="10"/>
        <v>16951297</v>
      </c>
      <c r="P342" s="3">
        <f t="shared" si="11"/>
        <v>16571819</v>
      </c>
    </row>
    <row r="343" spans="1:16">
      <c r="A343">
        <v>2023</v>
      </c>
      <c r="B343" t="s">
        <v>48</v>
      </c>
      <c r="C343" t="s">
        <v>51</v>
      </c>
      <c r="D343" t="s">
        <v>39</v>
      </c>
      <c r="E343" t="s">
        <v>23</v>
      </c>
      <c r="F343" t="s">
        <v>28</v>
      </c>
      <c r="G343" s="3">
        <v>80747</v>
      </c>
      <c r="H343" s="3">
        <v>153463</v>
      </c>
      <c r="I343">
        <v>38</v>
      </c>
      <c r="J343" s="3">
        <v>0.97</v>
      </c>
      <c r="K343">
        <v>6.29</v>
      </c>
      <c r="L343">
        <v>1.2</v>
      </c>
      <c r="M343">
        <v>6</v>
      </c>
      <c r="N343">
        <v>158</v>
      </c>
      <c r="O343" s="3">
        <f t="shared" si="10"/>
        <v>12758026</v>
      </c>
      <c r="P343" s="3">
        <f t="shared" si="11"/>
        <v>12604563</v>
      </c>
    </row>
    <row r="344" spans="1:16">
      <c r="A344">
        <v>2018</v>
      </c>
      <c r="B344" t="s">
        <v>21</v>
      </c>
      <c r="C344" t="s">
        <v>38</v>
      </c>
      <c r="D344" t="s">
        <v>39</v>
      </c>
      <c r="E344" t="s">
        <v>23</v>
      </c>
      <c r="F344" t="s">
        <v>28</v>
      </c>
      <c r="G344" s="3">
        <v>87349</v>
      </c>
      <c r="H344" s="3">
        <v>175851</v>
      </c>
      <c r="I344">
        <v>279</v>
      </c>
      <c r="J344" s="3">
        <v>0.97</v>
      </c>
      <c r="K344">
        <v>6.29</v>
      </c>
      <c r="L344">
        <v>1.2</v>
      </c>
      <c r="M344">
        <v>5</v>
      </c>
      <c r="N344">
        <v>701</v>
      </c>
      <c r="O344" s="3">
        <f t="shared" si="10"/>
        <v>61231649</v>
      </c>
      <c r="P344" s="3">
        <f t="shared" si="11"/>
        <v>61055798</v>
      </c>
    </row>
    <row r="345" spans="1:16">
      <c r="A345">
        <v>2018</v>
      </c>
      <c r="B345" t="s">
        <v>47</v>
      </c>
      <c r="C345" t="s">
        <v>31</v>
      </c>
      <c r="D345" t="s">
        <v>39</v>
      </c>
      <c r="E345" t="s">
        <v>23</v>
      </c>
      <c r="F345" t="s">
        <v>24</v>
      </c>
      <c r="G345" s="3">
        <v>105832</v>
      </c>
      <c r="H345" s="3">
        <v>79087</v>
      </c>
      <c r="I345">
        <v>256</v>
      </c>
      <c r="J345" s="3">
        <v>0.97</v>
      </c>
      <c r="K345">
        <v>6.29</v>
      </c>
      <c r="L345">
        <v>1.2</v>
      </c>
      <c r="M345">
        <v>8</v>
      </c>
      <c r="N345">
        <v>657</v>
      </c>
      <c r="O345" s="3">
        <f t="shared" si="10"/>
        <v>69531624</v>
      </c>
      <c r="P345" s="3">
        <f t="shared" si="11"/>
        <v>69452537</v>
      </c>
    </row>
    <row r="346" spans="1:16">
      <c r="A346">
        <v>2015</v>
      </c>
      <c r="B346" t="s">
        <v>53</v>
      </c>
      <c r="C346" t="s">
        <v>38</v>
      </c>
      <c r="D346" t="s">
        <v>22</v>
      </c>
      <c r="E346" t="s">
        <v>23</v>
      </c>
      <c r="F346" t="s">
        <v>24</v>
      </c>
      <c r="G346" s="3">
        <v>91356</v>
      </c>
      <c r="H346" s="3">
        <v>192690</v>
      </c>
      <c r="I346">
        <v>21</v>
      </c>
      <c r="J346" s="3">
        <v>0.97</v>
      </c>
      <c r="K346">
        <v>6.29</v>
      </c>
      <c r="L346">
        <v>1.2</v>
      </c>
      <c r="M346">
        <v>3</v>
      </c>
      <c r="N346">
        <v>306</v>
      </c>
      <c r="O346" s="3">
        <f t="shared" si="10"/>
        <v>27954936</v>
      </c>
      <c r="P346" s="3">
        <f t="shared" si="11"/>
        <v>27762246</v>
      </c>
    </row>
    <row r="347" spans="1:16">
      <c r="A347">
        <v>2022</v>
      </c>
      <c r="B347" t="s">
        <v>47</v>
      </c>
      <c r="C347" t="s">
        <v>40</v>
      </c>
      <c r="D347" t="s">
        <v>41</v>
      </c>
      <c r="E347" t="s">
        <v>23</v>
      </c>
      <c r="F347" t="s">
        <v>28</v>
      </c>
      <c r="G347" s="3">
        <v>49745</v>
      </c>
      <c r="H347" s="3">
        <v>320590</v>
      </c>
      <c r="I347">
        <v>364</v>
      </c>
      <c r="J347" s="3">
        <v>0.97</v>
      </c>
      <c r="K347">
        <v>6.29</v>
      </c>
      <c r="L347">
        <v>1.2</v>
      </c>
      <c r="M347">
        <v>3</v>
      </c>
      <c r="N347">
        <v>958</v>
      </c>
      <c r="O347" s="3">
        <f t="shared" si="10"/>
        <v>47655710</v>
      </c>
      <c r="P347" s="3">
        <f t="shared" si="11"/>
        <v>47335120</v>
      </c>
    </row>
    <row r="348" spans="1:16">
      <c r="A348">
        <v>2017</v>
      </c>
      <c r="B348" t="s">
        <v>25</v>
      </c>
      <c r="C348" t="s">
        <v>31</v>
      </c>
      <c r="D348" t="s">
        <v>32</v>
      </c>
      <c r="E348" t="s">
        <v>19</v>
      </c>
      <c r="F348" t="s">
        <v>24</v>
      </c>
      <c r="G348" s="3">
        <v>40730</v>
      </c>
      <c r="H348" s="3">
        <v>414271</v>
      </c>
      <c r="I348">
        <v>398</v>
      </c>
      <c r="J348" s="3">
        <v>0.97</v>
      </c>
      <c r="K348">
        <v>6.29</v>
      </c>
      <c r="L348">
        <v>1.2</v>
      </c>
      <c r="M348">
        <v>2</v>
      </c>
      <c r="N348">
        <v>1096</v>
      </c>
      <c r="O348" s="3">
        <f t="shared" si="10"/>
        <v>44640080</v>
      </c>
      <c r="P348" s="3">
        <f t="shared" si="11"/>
        <v>44225809</v>
      </c>
    </row>
    <row r="349" spans="1:16">
      <c r="A349">
        <v>2021</v>
      </c>
      <c r="B349" t="s">
        <v>29</v>
      </c>
      <c r="C349" t="s">
        <v>38</v>
      </c>
      <c r="D349" t="s">
        <v>41</v>
      </c>
      <c r="E349" t="s">
        <v>23</v>
      </c>
      <c r="F349" t="s">
        <v>33</v>
      </c>
      <c r="G349" s="3">
        <v>48921</v>
      </c>
      <c r="H349" s="3">
        <v>361011</v>
      </c>
      <c r="I349">
        <v>346</v>
      </c>
      <c r="J349" s="3">
        <v>0.97</v>
      </c>
      <c r="K349">
        <v>6.29</v>
      </c>
      <c r="L349">
        <v>1.2</v>
      </c>
      <c r="M349">
        <v>5</v>
      </c>
      <c r="N349">
        <v>1086</v>
      </c>
      <c r="O349" s="3">
        <f t="shared" si="10"/>
        <v>53128206</v>
      </c>
      <c r="P349" s="3">
        <f t="shared" si="11"/>
        <v>52767195</v>
      </c>
    </row>
    <row r="350" spans="1:16">
      <c r="A350">
        <v>2016</v>
      </c>
      <c r="B350" t="s">
        <v>43</v>
      </c>
      <c r="C350" t="s">
        <v>51</v>
      </c>
      <c r="D350" t="s">
        <v>42</v>
      </c>
      <c r="E350" t="s">
        <v>19</v>
      </c>
      <c r="F350" t="s">
        <v>24</v>
      </c>
      <c r="G350" s="3">
        <v>106138</v>
      </c>
      <c r="H350" s="3">
        <v>494244</v>
      </c>
      <c r="I350">
        <v>115</v>
      </c>
      <c r="J350" s="3">
        <v>0.97</v>
      </c>
      <c r="K350">
        <v>6.29</v>
      </c>
      <c r="L350">
        <v>1.2</v>
      </c>
      <c r="M350">
        <v>3</v>
      </c>
      <c r="N350">
        <v>647</v>
      </c>
      <c r="O350" s="3">
        <f t="shared" si="10"/>
        <v>68671286</v>
      </c>
      <c r="P350" s="3">
        <f t="shared" si="11"/>
        <v>68177042</v>
      </c>
    </row>
    <row r="351" spans="1:16">
      <c r="A351">
        <v>2016</v>
      </c>
      <c r="B351" t="s">
        <v>47</v>
      </c>
      <c r="C351" t="s">
        <v>26</v>
      </c>
      <c r="D351" t="s">
        <v>36</v>
      </c>
      <c r="E351" t="s">
        <v>19</v>
      </c>
      <c r="F351" t="s">
        <v>24</v>
      </c>
      <c r="G351" s="3">
        <v>118111</v>
      </c>
      <c r="H351" s="3">
        <v>372245</v>
      </c>
      <c r="I351">
        <v>41</v>
      </c>
      <c r="J351" s="3">
        <v>0.97</v>
      </c>
      <c r="K351">
        <v>6.29</v>
      </c>
      <c r="L351">
        <v>1.2</v>
      </c>
      <c r="M351">
        <v>3</v>
      </c>
      <c r="N351">
        <v>290</v>
      </c>
      <c r="O351" s="3">
        <f t="shared" si="10"/>
        <v>34252190</v>
      </c>
      <c r="P351" s="3">
        <f t="shared" si="11"/>
        <v>33879945</v>
      </c>
    </row>
    <row r="352" spans="1:16">
      <c r="A352">
        <v>2021</v>
      </c>
      <c r="B352" t="s">
        <v>43</v>
      </c>
      <c r="C352" t="s">
        <v>34</v>
      </c>
      <c r="D352" t="s">
        <v>27</v>
      </c>
      <c r="E352" t="s">
        <v>23</v>
      </c>
      <c r="F352" t="s">
        <v>24</v>
      </c>
      <c r="G352" s="3">
        <v>54023</v>
      </c>
      <c r="H352" s="3">
        <v>208272</v>
      </c>
      <c r="I352">
        <v>83</v>
      </c>
      <c r="J352" s="3">
        <v>0.97</v>
      </c>
      <c r="K352">
        <v>6.29</v>
      </c>
      <c r="L352">
        <v>1.2</v>
      </c>
      <c r="M352">
        <v>6</v>
      </c>
      <c r="N352">
        <v>475</v>
      </c>
      <c r="O352" s="3">
        <f t="shared" si="10"/>
        <v>25660925</v>
      </c>
      <c r="P352" s="3">
        <f t="shared" si="11"/>
        <v>25452653</v>
      </c>
    </row>
    <row r="353" spans="1:16">
      <c r="A353">
        <v>2020</v>
      </c>
      <c r="B353" t="s">
        <v>43</v>
      </c>
      <c r="C353" t="s">
        <v>34</v>
      </c>
      <c r="D353" t="s">
        <v>32</v>
      </c>
      <c r="E353" t="s">
        <v>19</v>
      </c>
      <c r="F353" t="s">
        <v>24</v>
      </c>
      <c r="G353" s="3">
        <v>80349</v>
      </c>
      <c r="H353" s="3">
        <v>276179</v>
      </c>
      <c r="I353">
        <v>180</v>
      </c>
      <c r="J353" s="3">
        <v>0.97</v>
      </c>
      <c r="K353">
        <v>6.29</v>
      </c>
      <c r="L353">
        <v>1.2</v>
      </c>
      <c r="M353">
        <v>8</v>
      </c>
      <c r="N353">
        <v>521</v>
      </c>
      <c r="O353" s="3">
        <f t="shared" si="10"/>
        <v>41861829</v>
      </c>
      <c r="P353" s="3">
        <f t="shared" si="11"/>
        <v>41585650</v>
      </c>
    </row>
    <row r="354" spans="1:16">
      <c r="A354">
        <v>2017</v>
      </c>
      <c r="B354" t="s">
        <v>50</v>
      </c>
      <c r="C354" t="s">
        <v>51</v>
      </c>
      <c r="D354" t="s">
        <v>32</v>
      </c>
      <c r="E354" t="s">
        <v>19</v>
      </c>
      <c r="F354" t="s">
        <v>20</v>
      </c>
      <c r="G354" s="3">
        <v>116533</v>
      </c>
      <c r="H354" s="3">
        <v>400218</v>
      </c>
      <c r="I354">
        <v>346</v>
      </c>
      <c r="J354" s="3">
        <v>0.97</v>
      </c>
      <c r="K354">
        <v>6.29</v>
      </c>
      <c r="L354">
        <v>1.2</v>
      </c>
      <c r="M354">
        <v>2</v>
      </c>
      <c r="N354">
        <v>1019</v>
      </c>
      <c r="O354" s="3">
        <f t="shared" si="10"/>
        <v>118747127</v>
      </c>
      <c r="P354" s="3">
        <f t="shared" si="11"/>
        <v>118346909</v>
      </c>
    </row>
    <row r="355" spans="1:16">
      <c r="A355">
        <v>2023</v>
      </c>
      <c r="B355" t="s">
        <v>16</v>
      </c>
      <c r="C355" t="s">
        <v>17</v>
      </c>
      <c r="D355" t="s">
        <v>41</v>
      </c>
      <c r="E355" t="s">
        <v>23</v>
      </c>
      <c r="F355" t="s">
        <v>20</v>
      </c>
      <c r="G355" s="3">
        <v>118286</v>
      </c>
      <c r="H355" s="3">
        <v>242537</v>
      </c>
      <c r="I355">
        <v>78</v>
      </c>
      <c r="J355" s="3">
        <v>0.97</v>
      </c>
      <c r="K355">
        <v>6.29</v>
      </c>
      <c r="L355">
        <v>1.2</v>
      </c>
      <c r="M355">
        <v>4</v>
      </c>
      <c r="N355">
        <v>421</v>
      </c>
      <c r="O355" s="3">
        <f t="shared" si="10"/>
        <v>49798406</v>
      </c>
      <c r="P355" s="3">
        <f t="shared" si="11"/>
        <v>49555869</v>
      </c>
    </row>
    <row r="356" spans="1:16">
      <c r="A356">
        <v>2024</v>
      </c>
      <c r="B356" t="s">
        <v>50</v>
      </c>
      <c r="C356" t="s">
        <v>26</v>
      </c>
      <c r="D356" t="s">
        <v>32</v>
      </c>
      <c r="E356" t="s">
        <v>19</v>
      </c>
      <c r="F356" t="s">
        <v>20</v>
      </c>
      <c r="G356" s="3">
        <v>76979</v>
      </c>
      <c r="H356" s="3">
        <v>267508</v>
      </c>
      <c r="I356">
        <v>310</v>
      </c>
      <c r="J356" s="3">
        <v>0.97</v>
      </c>
      <c r="K356">
        <v>6.29</v>
      </c>
      <c r="L356">
        <v>1.2</v>
      </c>
      <c r="M356">
        <v>7</v>
      </c>
      <c r="N356">
        <v>630</v>
      </c>
      <c r="O356" s="3">
        <f t="shared" si="10"/>
        <v>48496770</v>
      </c>
      <c r="P356" s="3">
        <f t="shared" si="11"/>
        <v>48229262</v>
      </c>
    </row>
    <row r="357" spans="1:16">
      <c r="A357">
        <v>2020</v>
      </c>
      <c r="B357" t="s">
        <v>43</v>
      </c>
      <c r="C357" t="s">
        <v>40</v>
      </c>
      <c r="D357" t="s">
        <v>52</v>
      </c>
      <c r="E357" t="s">
        <v>19</v>
      </c>
      <c r="F357" t="s">
        <v>28</v>
      </c>
      <c r="G357" s="3">
        <v>57837</v>
      </c>
      <c r="H357" s="3">
        <v>168422</v>
      </c>
      <c r="I357">
        <v>371</v>
      </c>
      <c r="J357" s="3">
        <v>0.97</v>
      </c>
      <c r="K357">
        <v>6.29</v>
      </c>
      <c r="L357">
        <v>1.2</v>
      </c>
      <c r="M357">
        <v>1</v>
      </c>
      <c r="N357">
        <v>811</v>
      </c>
      <c r="O357" s="3">
        <f t="shared" si="10"/>
        <v>46905807</v>
      </c>
      <c r="P357" s="3">
        <f t="shared" si="11"/>
        <v>46737385</v>
      </c>
    </row>
    <row r="358" spans="1:16">
      <c r="A358">
        <v>2024</v>
      </c>
      <c r="B358" t="s">
        <v>37</v>
      </c>
      <c r="C358" t="s">
        <v>51</v>
      </c>
      <c r="D358" t="s">
        <v>52</v>
      </c>
      <c r="E358" t="s">
        <v>19</v>
      </c>
      <c r="F358" t="s">
        <v>28</v>
      </c>
      <c r="G358" s="3">
        <v>49997</v>
      </c>
      <c r="H358" s="3">
        <v>400036</v>
      </c>
      <c r="I358">
        <v>146</v>
      </c>
      <c r="J358" s="3">
        <v>0.97</v>
      </c>
      <c r="K358">
        <v>6.29</v>
      </c>
      <c r="L358">
        <v>1.2</v>
      </c>
      <c r="M358">
        <v>1</v>
      </c>
      <c r="N358">
        <v>465</v>
      </c>
      <c r="O358" s="3">
        <f t="shared" si="10"/>
        <v>23248605</v>
      </c>
      <c r="P358" s="3">
        <f t="shared" si="11"/>
        <v>22848569</v>
      </c>
    </row>
    <row r="359" spans="1:16">
      <c r="A359">
        <v>2024</v>
      </c>
      <c r="B359" t="s">
        <v>48</v>
      </c>
      <c r="C359" t="s">
        <v>34</v>
      </c>
      <c r="D359" t="s">
        <v>42</v>
      </c>
      <c r="E359" t="s">
        <v>19</v>
      </c>
      <c r="F359" t="s">
        <v>33</v>
      </c>
      <c r="G359" s="3">
        <v>80039</v>
      </c>
      <c r="H359" s="3">
        <v>269631</v>
      </c>
      <c r="I359">
        <v>109</v>
      </c>
      <c r="J359" s="3">
        <v>0.97</v>
      </c>
      <c r="K359">
        <v>6.29</v>
      </c>
      <c r="L359">
        <v>1.2</v>
      </c>
      <c r="M359">
        <v>10</v>
      </c>
      <c r="N359">
        <v>542</v>
      </c>
      <c r="O359" s="3">
        <f t="shared" si="10"/>
        <v>43381138</v>
      </c>
      <c r="P359" s="3">
        <f t="shared" si="11"/>
        <v>43111507</v>
      </c>
    </row>
    <row r="360" spans="1:16">
      <c r="A360">
        <v>2020</v>
      </c>
      <c r="B360" t="s">
        <v>43</v>
      </c>
      <c r="C360" t="s">
        <v>34</v>
      </c>
      <c r="D360" t="s">
        <v>27</v>
      </c>
      <c r="E360" t="s">
        <v>23</v>
      </c>
      <c r="F360" t="s">
        <v>20</v>
      </c>
      <c r="G360" s="3">
        <v>55923</v>
      </c>
      <c r="H360" s="3">
        <v>432188</v>
      </c>
      <c r="I360">
        <v>155</v>
      </c>
      <c r="J360" s="3">
        <v>0.97</v>
      </c>
      <c r="K360">
        <v>6.29</v>
      </c>
      <c r="L360">
        <v>1.2</v>
      </c>
      <c r="M360">
        <v>7</v>
      </c>
      <c r="N360">
        <v>395</v>
      </c>
      <c r="O360" s="3">
        <f t="shared" si="10"/>
        <v>22089585</v>
      </c>
      <c r="P360" s="3">
        <f t="shared" si="11"/>
        <v>21657397</v>
      </c>
    </row>
    <row r="361" spans="1:16">
      <c r="A361">
        <v>2015</v>
      </c>
      <c r="B361" t="s">
        <v>50</v>
      </c>
      <c r="C361" t="s">
        <v>34</v>
      </c>
      <c r="D361" t="s">
        <v>30</v>
      </c>
      <c r="E361" t="s">
        <v>23</v>
      </c>
      <c r="F361" t="s">
        <v>28</v>
      </c>
      <c r="G361" s="3">
        <v>43876</v>
      </c>
      <c r="H361" s="3">
        <v>89148</v>
      </c>
      <c r="I361">
        <v>18</v>
      </c>
      <c r="J361" s="3">
        <v>0.97</v>
      </c>
      <c r="K361">
        <v>6.29</v>
      </c>
      <c r="L361">
        <v>1.2</v>
      </c>
      <c r="M361">
        <v>7</v>
      </c>
      <c r="N361">
        <v>467</v>
      </c>
      <c r="O361" s="3">
        <f t="shared" si="10"/>
        <v>20490092</v>
      </c>
      <c r="P361" s="3">
        <f t="shared" si="11"/>
        <v>20400944</v>
      </c>
    </row>
    <row r="362" spans="1:16">
      <c r="A362">
        <v>2018</v>
      </c>
      <c r="B362" t="s">
        <v>37</v>
      </c>
      <c r="C362" t="s">
        <v>46</v>
      </c>
      <c r="D362" t="s">
        <v>22</v>
      </c>
      <c r="E362" t="s">
        <v>23</v>
      </c>
      <c r="F362" t="s">
        <v>24</v>
      </c>
      <c r="G362" s="3">
        <v>95973</v>
      </c>
      <c r="H362" s="3">
        <v>395072</v>
      </c>
      <c r="I362">
        <v>71</v>
      </c>
      <c r="J362" s="3">
        <v>0.97</v>
      </c>
      <c r="K362">
        <v>6.29</v>
      </c>
      <c r="L362">
        <v>1.2</v>
      </c>
      <c r="M362">
        <v>1</v>
      </c>
      <c r="N362">
        <v>536</v>
      </c>
      <c r="O362" s="3">
        <f t="shared" si="10"/>
        <v>51441528</v>
      </c>
      <c r="P362" s="3">
        <f t="shared" si="11"/>
        <v>51046456</v>
      </c>
    </row>
    <row r="363" spans="1:16">
      <c r="A363">
        <v>2024</v>
      </c>
      <c r="B363" t="s">
        <v>50</v>
      </c>
      <c r="C363" t="s">
        <v>51</v>
      </c>
      <c r="D363" t="s">
        <v>41</v>
      </c>
      <c r="E363" t="s">
        <v>23</v>
      </c>
      <c r="F363" t="s">
        <v>24</v>
      </c>
      <c r="G363" s="3">
        <v>37887</v>
      </c>
      <c r="H363" s="3">
        <v>201770</v>
      </c>
      <c r="I363">
        <v>194</v>
      </c>
      <c r="J363" s="3">
        <v>0.97</v>
      </c>
      <c r="K363">
        <v>6.29</v>
      </c>
      <c r="L363">
        <v>1.2</v>
      </c>
      <c r="M363">
        <v>1</v>
      </c>
      <c r="N363">
        <v>571</v>
      </c>
      <c r="O363" s="3">
        <f t="shared" si="10"/>
        <v>21633477</v>
      </c>
      <c r="P363" s="3">
        <f t="shared" si="11"/>
        <v>21431707</v>
      </c>
    </row>
    <row r="364" spans="1:16">
      <c r="A364">
        <v>2020</v>
      </c>
      <c r="B364" t="s">
        <v>47</v>
      </c>
      <c r="C364" t="s">
        <v>45</v>
      </c>
      <c r="D364" t="s">
        <v>22</v>
      </c>
      <c r="E364" t="s">
        <v>23</v>
      </c>
      <c r="F364" t="s">
        <v>20</v>
      </c>
      <c r="G364" s="3">
        <v>98723</v>
      </c>
      <c r="H364" s="3">
        <v>485686</v>
      </c>
      <c r="I364">
        <v>38</v>
      </c>
      <c r="J364" s="3">
        <v>0.97</v>
      </c>
      <c r="K364">
        <v>6.29</v>
      </c>
      <c r="L364">
        <v>1.2</v>
      </c>
      <c r="M364">
        <v>4</v>
      </c>
      <c r="N364">
        <v>206</v>
      </c>
      <c r="O364" s="3">
        <f t="shared" si="10"/>
        <v>20336938</v>
      </c>
      <c r="P364" s="3">
        <f t="shared" si="11"/>
        <v>19851252</v>
      </c>
    </row>
    <row r="365" spans="1:16">
      <c r="A365">
        <v>2020</v>
      </c>
      <c r="B365" t="s">
        <v>49</v>
      </c>
      <c r="C365" t="s">
        <v>40</v>
      </c>
      <c r="D365" t="s">
        <v>30</v>
      </c>
      <c r="E365" t="s">
        <v>23</v>
      </c>
      <c r="F365" t="s">
        <v>33</v>
      </c>
      <c r="G365" s="3">
        <v>77422</v>
      </c>
      <c r="H365" s="3">
        <v>363804</v>
      </c>
      <c r="I365">
        <v>390</v>
      </c>
      <c r="J365" s="3">
        <v>0.97</v>
      </c>
      <c r="K365">
        <v>6.29</v>
      </c>
      <c r="L365">
        <v>1.2</v>
      </c>
      <c r="M365">
        <v>5</v>
      </c>
      <c r="N365">
        <v>1135</v>
      </c>
      <c r="O365" s="3">
        <f t="shared" si="10"/>
        <v>87873970</v>
      </c>
      <c r="P365" s="3">
        <f t="shared" si="11"/>
        <v>87510166</v>
      </c>
    </row>
    <row r="366" spans="1:16">
      <c r="A366">
        <v>2019</v>
      </c>
      <c r="B366" t="s">
        <v>21</v>
      </c>
      <c r="C366" t="s">
        <v>34</v>
      </c>
      <c r="D366" t="s">
        <v>41</v>
      </c>
      <c r="E366" t="s">
        <v>23</v>
      </c>
      <c r="F366" t="s">
        <v>33</v>
      </c>
      <c r="G366" s="3">
        <v>86413</v>
      </c>
      <c r="H366" s="3">
        <v>497126</v>
      </c>
      <c r="I366">
        <v>123</v>
      </c>
      <c r="J366" s="3">
        <v>0.97</v>
      </c>
      <c r="K366">
        <v>6.29</v>
      </c>
      <c r="L366">
        <v>1.2</v>
      </c>
      <c r="M366">
        <v>5</v>
      </c>
      <c r="N366">
        <v>453</v>
      </c>
      <c r="O366" s="3">
        <f t="shared" si="10"/>
        <v>39145089</v>
      </c>
      <c r="P366" s="3">
        <f t="shared" si="11"/>
        <v>38647963</v>
      </c>
    </row>
    <row r="367" spans="1:16">
      <c r="A367">
        <v>2015</v>
      </c>
      <c r="B367" t="s">
        <v>53</v>
      </c>
      <c r="C367" t="s">
        <v>38</v>
      </c>
      <c r="D367" t="s">
        <v>41</v>
      </c>
      <c r="E367" t="s">
        <v>23</v>
      </c>
      <c r="F367" t="s">
        <v>24</v>
      </c>
      <c r="G367" s="3">
        <v>37841</v>
      </c>
      <c r="H367" s="3">
        <v>347594</v>
      </c>
      <c r="I367">
        <v>152</v>
      </c>
      <c r="J367" s="3">
        <v>0.97</v>
      </c>
      <c r="K367">
        <v>6.29</v>
      </c>
      <c r="L367">
        <v>1.2</v>
      </c>
      <c r="M367">
        <v>4</v>
      </c>
      <c r="N367">
        <v>517</v>
      </c>
      <c r="O367" s="3">
        <f t="shared" si="10"/>
        <v>19563797</v>
      </c>
      <c r="P367" s="3">
        <f t="shared" si="11"/>
        <v>19216203</v>
      </c>
    </row>
    <row r="368" spans="1:16">
      <c r="A368">
        <v>2022</v>
      </c>
      <c r="B368" t="s">
        <v>29</v>
      </c>
      <c r="C368" t="s">
        <v>51</v>
      </c>
      <c r="D368" t="s">
        <v>27</v>
      </c>
      <c r="E368" t="s">
        <v>23</v>
      </c>
      <c r="F368" t="s">
        <v>33</v>
      </c>
      <c r="G368" s="3">
        <v>63756</v>
      </c>
      <c r="H368" s="3">
        <v>237535</v>
      </c>
      <c r="I368">
        <v>399</v>
      </c>
      <c r="J368" s="3">
        <v>0.97</v>
      </c>
      <c r="K368">
        <v>6.29</v>
      </c>
      <c r="L368">
        <v>1.2</v>
      </c>
      <c r="M368">
        <v>8</v>
      </c>
      <c r="N368">
        <v>1137</v>
      </c>
      <c r="O368" s="3">
        <f t="shared" si="10"/>
        <v>72490572</v>
      </c>
      <c r="P368" s="3">
        <f t="shared" si="11"/>
        <v>72253037</v>
      </c>
    </row>
    <row r="369" spans="1:16">
      <c r="A369">
        <v>2019</v>
      </c>
      <c r="B369" t="s">
        <v>50</v>
      </c>
      <c r="C369" t="s">
        <v>46</v>
      </c>
      <c r="D369" t="s">
        <v>22</v>
      </c>
      <c r="E369" t="s">
        <v>23</v>
      </c>
      <c r="F369" t="s">
        <v>20</v>
      </c>
      <c r="G369" s="3">
        <v>106576</v>
      </c>
      <c r="H369" s="3">
        <v>345901</v>
      </c>
      <c r="I369">
        <v>129</v>
      </c>
      <c r="J369" s="3">
        <v>0.97</v>
      </c>
      <c r="K369">
        <v>6.29</v>
      </c>
      <c r="L369">
        <v>1.2</v>
      </c>
      <c r="M369">
        <v>7</v>
      </c>
      <c r="N369">
        <v>539</v>
      </c>
      <c r="O369" s="3">
        <f t="shared" si="10"/>
        <v>57444464</v>
      </c>
      <c r="P369" s="3">
        <f t="shared" si="11"/>
        <v>57098563</v>
      </c>
    </row>
    <row r="370" spans="1:16">
      <c r="A370">
        <v>2019</v>
      </c>
      <c r="B370" t="s">
        <v>53</v>
      </c>
      <c r="C370" t="s">
        <v>51</v>
      </c>
      <c r="D370" t="s">
        <v>52</v>
      </c>
      <c r="E370" t="s">
        <v>19</v>
      </c>
      <c r="F370" t="s">
        <v>24</v>
      </c>
      <c r="G370" s="3">
        <v>45304</v>
      </c>
      <c r="H370" s="3">
        <v>128012</v>
      </c>
      <c r="I370">
        <v>179</v>
      </c>
      <c r="J370" s="3">
        <v>0.97</v>
      </c>
      <c r="K370">
        <v>6.29</v>
      </c>
      <c r="L370">
        <v>1.2</v>
      </c>
      <c r="M370">
        <v>9</v>
      </c>
      <c r="N370">
        <v>613</v>
      </c>
      <c r="O370" s="3">
        <f t="shared" si="10"/>
        <v>27771352</v>
      </c>
      <c r="P370" s="3">
        <f t="shared" si="11"/>
        <v>27643340</v>
      </c>
    </row>
    <row r="371" spans="1:16">
      <c r="A371">
        <v>2021</v>
      </c>
      <c r="B371" t="s">
        <v>35</v>
      </c>
      <c r="C371" t="s">
        <v>40</v>
      </c>
      <c r="D371" t="s">
        <v>39</v>
      </c>
      <c r="E371" t="s">
        <v>23</v>
      </c>
      <c r="F371" t="s">
        <v>28</v>
      </c>
      <c r="G371" s="3">
        <v>65341</v>
      </c>
      <c r="H371" s="3">
        <v>418894</v>
      </c>
      <c r="I371">
        <v>166</v>
      </c>
      <c r="J371" s="3">
        <v>0.97</v>
      </c>
      <c r="K371">
        <v>6.29</v>
      </c>
      <c r="L371">
        <v>1.2</v>
      </c>
      <c r="M371">
        <v>7</v>
      </c>
      <c r="N371">
        <v>730</v>
      </c>
      <c r="O371" s="3">
        <f t="shared" si="10"/>
        <v>47698930</v>
      </c>
      <c r="P371" s="3">
        <f t="shared" si="11"/>
        <v>47280036</v>
      </c>
    </row>
    <row r="372" spans="1:16">
      <c r="A372">
        <v>2018</v>
      </c>
      <c r="B372" t="s">
        <v>50</v>
      </c>
      <c r="C372" t="s">
        <v>46</v>
      </c>
      <c r="D372" t="s">
        <v>22</v>
      </c>
      <c r="E372" t="s">
        <v>23</v>
      </c>
      <c r="F372" t="s">
        <v>28</v>
      </c>
      <c r="G372" s="3">
        <v>39758</v>
      </c>
      <c r="H372" s="3">
        <v>439187</v>
      </c>
      <c r="I372">
        <v>344</v>
      </c>
      <c r="J372" s="3">
        <v>0.97</v>
      </c>
      <c r="K372">
        <v>6.29</v>
      </c>
      <c r="L372">
        <v>1.2</v>
      </c>
      <c r="M372">
        <v>10</v>
      </c>
      <c r="N372">
        <v>934</v>
      </c>
      <c r="O372" s="3">
        <f t="shared" si="10"/>
        <v>37133972</v>
      </c>
      <c r="P372" s="3">
        <f t="shared" si="11"/>
        <v>36694785</v>
      </c>
    </row>
    <row r="373" spans="1:16">
      <c r="A373">
        <v>2020</v>
      </c>
      <c r="B373" t="s">
        <v>49</v>
      </c>
      <c r="C373" t="s">
        <v>40</v>
      </c>
      <c r="D373" t="s">
        <v>36</v>
      </c>
      <c r="E373" t="s">
        <v>19</v>
      </c>
      <c r="F373" t="s">
        <v>33</v>
      </c>
      <c r="G373" s="3">
        <v>52010</v>
      </c>
      <c r="H373" s="3">
        <v>474606</v>
      </c>
      <c r="I373">
        <v>358</v>
      </c>
      <c r="J373" s="3">
        <v>0.97</v>
      </c>
      <c r="K373">
        <v>6.29</v>
      </c>
      <c r="L373">
        <v>1.2</v>
      </c>
      <c r="M373">
        <v>1</v>
      </c>
      <c r="N373">
        <v>980</v>
      </c>
      <c r="O373" s="3">
        <f t="shared" si="10"/>
        <v>50969800</v>
      </c>
      <c r="P373" s="3">
        <f t="shared" si="11"/>
        <v>50495194</v>
      </c>
    </row>
    <row r="374" spans="1:16">
      <c r="A374">
        <v>2018</v>
      </c>
      <c r="B374" t="s">
        <v>53</v>
      </c>
      <c r="C374" t="s">
        <v>51</v>
      </c>
      <c r="D374" t="s">
        <v>36</v>
      </c>
      <c r="E374" t="s">
        <v>19</v>
      </c>
      <c r="F374" t="s">
        <v>24</v>
      </c>
      <c r="G374" s="3">
        <v>95758</v>
      </c>
      <c r="H374" s="3">
        <v>106116</v>
      </c>
      <c r="I374">
        <v>269</v>
      </c>
      <c r="J374" s="3">
        <v>0.97</v>
      </c>
      <c r="K374">
        <v>6.29</v>
      </c>
      <c r="L374">
        <v>1.2</v>
      </c>
      <c r="M374">
        <v>7</v>
      </c>
      <c r="N374">
        <v>725</v>
      </c>
      <c r="O374" s="3">
        <f t="shared" si="10"/>
        <v>69424550</v>
      </c>
      <c r="P374" s="3">
        <f t="shared" si="11"/>
        <v>69318434</v>
      </c>
    </row>
    <row r="375" spans="1:16">
      <c r="A375">
        <v>2017</v>
      </c>
      <c r="B375" t="s">
        <v>29</v>
      </c>
      <c r="C375" t="s">
        <v>45</v>
      </c>
      <c r="D375" t="s">
        <v>41</v>
      </c>
      <c r="E375" t="s">
        <v>23</v>
      </c>
      <c r="F375" t="s">
        <v>24</v>
      </c>
      <c r="G375" s="3">
        <v>66658</v>
      </c>
      <c r="H375" s="3">
        <v>194233</v>
      </c>
      <c r="I375">
        <v>91</v>
      </c>
      <c r="J375" s="3">
        <v>0.97</v>
      </c>
      <c r="K375">
        <v>6.29</v>
      </c>
      <c r="L375">
        <v>1.2</v>
      </c>
      <c r="M375">
        <v>1</v>
      </c>
      <c r="N375">
        <v>499</v>
      </c>
      <c r="O375" s="3">
        <f t="shared" si="10"/>
        <v>33262342</v>
      </c>
      <c r="P375" s="3">
        <f t="shared" si="11"/>
        <v>33068109</v>
      </c>
    </row>
    <row r="376" spans="1:16">
      <c r="A376">
        <v>2021</v>
      </c>
      <c r="B376" t="s">
        <v>43</v>
      </c>
      <c r="C376" t="s">
        <v>40</v>
      </c>
      <c r="D376" t="s">
        <v>39</v>
      </c>
      <c r="E376" t="s">
        <v>23</v>
      </c>
      <c r="F376" t="s">
        <v>28</v>
      </c>
      <c r="G376" s="3">
        <v>84002</v>
      </c>
      <c r="H376" s="3">
        <v>82152</v>
      </c>
      <c r="I376">
        <v>251</v>
      </c>
      <c r="J376" s="3">
        <v>0.97</v>
      </c>
      <c r="K376">
        <v>6.29</v>
      </c>
      <c r="L376">
        <v>1.2</v>
      </c>
      <c r="M376">
        <v>7</v>
      </c>
      <c r="N376">
        <v>662</v>
      </c>
      <c r="O376" s="3">
        <f t="shared" si="10"/>
        <v>55609324</v>
      </c>
      <c r="P376" s="3">
        <f t="shared" si="11"/>
        <v>55527172</v>
      </c>
    </row>
    <row r="377" spans="1:16">
      <c r="A377">
        <v>2022</v>
      </c>
      <c r="B377" t="s">
        <v>50</v>
      </c>
      <c r="C377" t="s">
        <v>46</v>
      </c>
      <c r="D377" t="s">
        <v>18</v>
      </c>
      <c r="E377" t="s">
        <v>19</v>
      </c>
      <c r="F377" t="s">
        <v>24</v>
      </c>
      <c r="G377" s="3">
        <v>36375</v>
      </c>
      <c r="H377" s="3">
        <v>156379</v>
      </c>
      <c r="I377">
        <v>181</v>
      </c>
      <c r="J377" s="3">
        <v>0.97</v>
      </c>
      <c r="K377">
        <v>6.29</v>
      </c>
      <c r="L377">
        <v>1.2</v>
      </c>
      <c r="M377">
        <v>10</v>
      </c>
      <c r="N377">
        <v>608</v>
      </c>
      <c r="O377" s="3">
        <f t="shared" si="10"/>
        <v>22116000</v>
      </c>
      <c r="P377" s="3">
        <f t="shared" si="11"/>
        <v>21959621</v>
      </c>
    </row>
    <row r="378" spans="1:16">
      <c r="A378">
        <v>2018</v>
      </c>
      <c r="B378" t="s">
        <v>16</v>
      </c>
      <c r="C378" t="s">
        <v>46</v>
      </c>
      <c r="D378" t="s">
        <v>30</v>
      </c>
      <c r="E378" t="s">
        <v>23</v>
      </c>
      <c r="F378" t="s">
        <v>24</v>
      </c>
      <c r="G378" s="3">
        <v>57092</v>
      </c>
      <c r="H378" s="3">
        <v>276905</v>
      </c>
      <c r="I378">
        <v>240</v>
      </c>
      <c r="J378" s="3">
        <v>0.97</v>
      </c>
      <c r="K378">
        <v>6.29</v>
      </c>
      <c r="L378">
        <v>1.2</v>
      </c>
      <c r="M378">
        <v>8</v>
      </c>
      <c r="N378">
        <v>719</v>
      </c>
      <c r="O378" s="3">
        <f t="shared" si="10"/>
        <v>41049148</v>
      </c>
      <c r="P378" s="3">
        <f t="shared" si="11"/>
        <v>40772243</v>
      </c>
    </row>
    <row r="379" spans="1:16">
      <c r="A379">
        <v>2016</v>
      </c>
      <c r="B379" t="s">
        <v>21</v>
      </c>
      <c r="C379" t="s">
        <v>40</v>
      </c>
      <c r="D379" t="s">
        <v>42</v>
      </c>
      <c r="E379" t="s">
        <v>19</v>
      </c>
      <c r="F379" t="s">
        <v>24</v>
      </c>
      <c r="G379" s="3">
        <v>35490</v>
      </c>
      <c r="H379" s="3">
        <v>70836</v>
      </c>
      <c r="I379">
        <v>217</v>
      </c>
      <c r="J379" s="3">
        <v>0.97</v>
      </c>
      <c r="K379">
        <v>6.29</v>
      </c>
      <c r="L379">
        <v>1.2</v>
      </c>
      <c r="M379">
        <v>9</v>
      </c>
      <c r="N379">
        <v>450</v>
      </c>
      <c r="O379" s="3">
        <f t="shared" si="10"/>
        <v>15970500</v>
      </c>
      <c r="P379" s="3">
        <f t="shared" si="11"/>
        <v>15899664</v>
      </c>
    </row>
    <row r="380" spans="1:16">
      <c r="A380">
        <v>2024</v>
      </c>
      <c r="B380" t="s">
        <v>49</v>
      </c>
      <c r="C380" t="s">
        <v>44</v>
      </c>
      <c r="D380" t="s">
        <v>39</v>
      </c>
      <c r="E380" t="s">
        <v>23</v>
      </c>
      <c r="F380" t="s">
        <v>33</v>
      </c>
      <c r="G380" s="3">
        <v>38729</v>
      </c>
      <c r="H380" s="3">
        <v>271439</v>
      </c>
      <c r="I380">
        <v>84</v>
      </c>
      <c r="J380" s="3">
        <v>0.97</v>
      </c>
      <c r="K380">
        <v>6.29</v>
      </c>
      <c r="L380">
        <v>1.2</v>
      </c>
      <c r="M380">
        <v>3</v>
      </c>
      <c r="N380">
        <v>257</v>
      </c>
      <c r="O380" s="3">
        <f t="shared" si="10"/>
        <v>9953353</v>
      </c>
      <c r="P380" s="3">
        <f t="shared" si="11"/>
        <v>9681914</v>
      </c>
    </row>
    <row r="381" spans="1:16">
      <c r="A381">
        <v>2017</v>
      </c>
      <c r="B381" t="s">
        <v>25</v>
      </c>
      <c r="C381" t="s">
        <v>51</v>
      </c>
      <c r="D381" t="s">
        <v>42</v>
      </c>
      <c r="E381" t="s">
        <v>19</v>
      </c>
      <c r="F381" t="s">
        <v>24</v>
      </c>
      <c r="G381" s="3">
        <v>40974</v>
      </c>
      <c r="H381" s="3">
        <v>236720</v>
      </c>
      <c r="I381">
        <v>279</v>
      </c>
      <c r="J381" s="3">
        <v>0.97</v>
      </c>
      <c r="K381">
        <v>6.29</v>
      </c>
      <c r="L381">
        <v>1.2</v>
      </c>
      <c r="M381">
        <v>4</v>
      </c>
      <c r="N381">
        <v>699</v>
      </c>
      <c r="O381" s="3">
        <f t="shared" si="10"/>
        <v>28640826</v>
      </c>
      <c r="P381" s="3">
        <f t="shared" si="11"/>
        <v>28404106</v>
      </c>
    </row>
    <row r="382" spans="1:16">
      <c r="A382">
        <v>2015</v>
      </c>
      <c r="B382" t="s">
        <v>25</v>
      </c>
      <c r="C382" t="s">
        <v>44</v>
      </c>
      <c r="D382" t="s">
        <v>22</v>
      </c>
      <c r="E382" t="s">
        <v>23</v>
      </c>
      <c r="F382" t="s">
        <v>20</v>
      </c>
      <c r="G382" s="3">
        <v>118860</v>
      </c>
      <c r="H382" s="3">
        <v>207403</v>
      </c>
      <c r="I382">
        <v>396</v>
      </c>
      <c r="J382" s="3">
        <v>0.97</v>
      </c>
      <c r="K382">
        <v>6.29</v>
      </c>
      <c r="L382">
        <v>1.2</v>
      </c>
      <c r="M382">
        <v>4</v>
      </c>
      <c r="N382">
        <v>1078</v>
      </c>
      <c r="O382" s="3">
        <f t="shared" si="10"/>
        <v>128131080</v>
      </c>
      <c r="P382" s="3">
        <f t="shared" si="11"/>
        <v>127923677</v>
      </c>
    </row>
    <row r="383" spans="1:16">
      <c r="A383">
        <v>2022</v>
      </c>
      <c r="B383" t="s">
        <v>53</v>
      </c>
      <c r="C383" t="s">
        <v>17</v>
      </c>
      <c r="D383" t="s">
        <v>22</v>
      </c>
      <c r="E383" t="s">
        <v>23</v>
      </c>
      <c r="F383" t="s">
        <v>33</v>
      </c>
      <c r="G383" s="3">
        <v>56398</v>
      </c>
      <c r="H383" s="3">
        <v>191835</v>
      </c>
      <c r="I383">
        <v>123</v>
      </c>
      <c r="J383" s="3">
        <v>0.97</v>
      </c>
      <c r="K383">
        <v>6.29</v>
      </c>
      <c r="L383">
        <v>1.2</v>
      </c>
      <c r="M383">
        <v>9</v>
      </c>
      <c r="N383">
        <v>246</v>
      </c>
      <c r="O383" s="3">
        <f t="shared" si="10"/>
        <v>13873908</v>
      </c>
      <c r="P383" s="3">
        <f t="shared" si="11"/>
        <v>13682073</v>
      </c>
    </row>
    <row r="384" spans="1:16">
      <c r="A384">
        <v>2017</v>
      </c>
      <c r="B384" t="s">
        <v>49</v>
      </c>
      <c r="C384" t="s">
        <v>51</v>
      </c>
      <c r="D384" t="s">
        <v>42</v>
      </c>
      <c r="E384" t="s">
        <v>19</v>
      </c>
      <c r="F384" t="s">
        <v>24</v>
      </c>
      <c r="G384" s="3">
        <v>69650</v>
      </c>
      <c r="H384" s="3">
        <v>381588</v>
      </c>
      <c r="I384">
        <v>71</v>
      </c>
      <c r="J384" s="3">
        <v>0.97</v>
      </c>
      <c r="K384">
        <v>6.29</v>
      </c>
      <c r="L384">
        <v>1.2</v>
      </c>
      <c r="M384">
        <v>7</v>
      </c>
      <c r="N384">
        <v>197</v>
      </c>
      <c r="O384" s="3">
        <f t="shared" si="10"/>
        <v>13721050</v>
      </c>
      <c r="P384" s="3">
        <f t="shared" si="11"/>
        <v>13339462</v>
      </c>
    </row>
    <row r="385" spans="1:16">
      <c r="A385">
        <v>2024</v>
      </c>
      <c r="B385" t="s">
        <v>37</v>
      </c>
      <c r="C385" t="s">
        <v>40</v>
      </c>
      <c r="D385" t="s">
        <v>30</v>
      </c>
      <c r="E385" t="s">
        <v>23</v>
      </c>
      <c r="F385" t="s">
        <v>24</v>
      </c>
      <c r="G385" s="3">
        <v>56292</v>
      </c>
      <c r="H385" s="3">
        <v>143109</v>
      </c>
      <c r="I385">
        <v>371</v>
      </c>
      <c r="J385" s="3">
        <v>0.97</v>
      </c>
      <c r="K385">
        <v>6.29</v>
      </c>
      <c r="L385">
        <v>1.2</v>
      </c>
      <c r="M385">
        <v>3</v>
      </c>
      <c r="N385">
        <v>931</v>
      </c>
      <c r="O385" s="3">
        <f t="shared" si="10"/>
        <v>52407852</v>
      </c>
      <c r="P385" s="3">
        <f t="shared" si="11"/>
        <v>52264743</v>
      </c>
    </row>
    <row r="386" spans="1:16">
      <c r="A386">
        <v>2021</v>
      </c>
      <c r="B386" t="s">
        <v>29</v>
      </c>
      <c r="C386" t="s">
        <v>26</v>
      </c>
      <c r="D386" t="s">
        <v>39</v>
      </c>
      <c r="E386" t="s">
        <v>23</v>
      </c>
      <c r="F386" t="s">
        <v>20</v>
      </c>
      <c r="G386" s="3">
        <v>38159</v>
      </c>
      <c r="H386" s="3">
        <v>200259</v>
      </c>
      <c r="I386">
        <v>329</v>
      </c>
      <c r="J386" s="3">
        <v>0.97</v>
      </c>
      <c r="K386">
        <v>6.29</v>
      </c>
      <c r="L386">
        <v>1.2</v>
      </c>
      <c r="M386">
        <v>10</v>
      </c>
      <c r="N386">
        <v>1013</v>
      </c>
      <c r="O386" s="3">
        <f t="shared" si="10"/>
        <v>38655067</v>
      </c>
      <c r="P386" s="3">
        <f t="shared" si="11"/>
        <v>38454808</v>
      </c>
    </row>
    <row r="387" spans="1:16">
      <c r="A387">
        <v>2024</v>
      </c>
      <c r="B387" t="s">
        <v>21</v>
      </c>
      <c r="C387" t="s">
        <v>40</v>
      </c>
      <c r="D387" t="s">
        <v>18</v>
      </c>
      <c r="E387" t="s">
        <v>19</v>
      </c>
      <c r="F387" t="s">
        <v>33</v>
      </c>
      <c r="G387" s="3">
        <v>97766</v>
      </c>
      <c r="H387" s="3">
        <v>193029</v>
      </c>
      <c r="I387">
        <v>111</v>
      </c>
      <c r="J387" s="3">
        <v>0.97</v>
      </c>
      <c r="K387">
        <v>6.29</v>
      </c>
      <c r="L387">
        <v>1.2</v>
      </c>
      <c r="M387">
        <v>5</v>
      </c>
      <c r="N387">
        <v>499</v>
      </c>
      <c r="O387" s="3">
        <f t="shared" ref="O387:O450" si="12">N387*G387</f>
        <v>48785234</v>
      </c>
      <c r="P387" s="3">
        <f t="shared" ref="P387:P450" si="13">O387-H387</f>
        <v>48592205</v>
      </c>
    </row>
    <row r="388" spans="1:16">
      <c r="A388">
        <v>2019</v>
      </c>
      <c r="B388" t="s">
        <v>43</v>
      </c>
      <c r="C388" t="s">
        <v>44</v>
      </c>
      <c r="D388" t="s">
        <v>41</v>
      </c>
      <c r="E388" t="s">
        <v>23</v>
      </c>
      <c r="F388" t="s">
        <v>28</v>
      </c>
      <c r="G388" s="3">
        <v>52065</v>
      </c>
      <c r="H388" s="3">
        <v>447595</v>
      </c>
      <c r="I388">
        <v>371</v>
      </c>
      <c r="J388" s="3">
        <v>0.97</v>
      </c>
      <c r="K388">
        <v>6.29</v>
      </c>
      <c r="L388">
        <v>1.2</v>
      </c>
      <c r="M388">
        <v>7</v>
      </c>
      <c r="N388">
        <v>977</v>
      </c>
      <c r="O388" s="3">
        <f t="shared" si="12"/>
        <v>50867505</v>
      </c>
      <c r="P388" s="3">
        <f t="shared" si="13"/>
        <v>50419910</v>
      </c>
    </row>
    <row r="389" spans="1:16">
      <c r="A389">
        <v>2024</v>
      </c>
      <c r="B389" t="s">
        <v>50</v>
      </c>
      <c r="C389" t="s">
        <v>45</v>
      </c>
      <c r="D389" t="s">
        <v>27</v>
      </c>
      <c r="E389" t="s">
        <v>23</v>
      </c>
      <c r="F389" t="s">
        <v>28</v>
      </c>
      <c r="G389" s="3">
        <v>56638</v>
      </c>
      <c r="H389" s="3">
        <v>471175</v>
      </c>
      <c r="I389">
        <v>219</v>
      </c>
      <c r="J389" s="3">
        <v>0.97</v>
      </c>
      <c r="K389">
        <v>6.29</v>
      </c>
      <c r="L389">
        <v>1.2</v>
      </c>
      <c r="M389">
        <v>8</v>
      </c>
      <c r="N389">
        <v>790</v>
      </c>
      <c r="O389" s="3">
        <f t="shared" si="12"/>
        <v>44744020</v>
      </c>
      <c r="P389" s="3">
        <f t="shared" si="13"/>
        <v>44272845</v>
      </c>
    </row>
    <row r="390" spans="1:16">
      <c r="A390">
        <v>2019</v>
      </c>
      <c r="B390" t="s">
        <v>50</v>
      </c>
      <c r="C390" t="s">
        <v>40</v>
      </c>
      <c r="D390" t="s">
        <v>22</v>
      </c>
      <c r="E390" t="s">
        <v>23</v>
      </c>
      <c r="F390" t="s">
        <v>33</v>
      </c>
      <c r="G390" s="3">
        <v>36073</v>
      </c>
      <c r="H390" s="3">
        <v>132018</v>
      </c>
      <c r="I390">
        <v>264</v>
      </c>
      <c r="J390" s="3">
        <v>0.97</v>
      </c>
      <c r="K390">
        <v>6.29</v>
      </c>
      <c r="L390">
        <v>1.2</v>
      </c>
      <c r="M390">
        <v>1</v>
      </c>
      <c r="N390">
        <v>880</v>
      </c>
      <c r="O390" s="3">
        <f t="shared" si="12"/>
        <v>31744240</v>
      </c>
      <c r="P390" s="3">
        <f t="shared" si="13"/>
        <v>31612222</v>
      </c>
    </row>
    <row r="391" spans="1:16">
      <c r="A391">
        <v>2021</v>
      </c>
      <c r="B391" t="s">
        <v>25</v>
      </c>
      <c r="C391" t="s">
        <v>40</v>
      </c>
      <c r="D391" t="s">
        <v>36</v>
      </c>
      <c r="E391" t="s">
        <v>19</v>
      </c>
      <c r="F391" t="s">
        <v>24</v>
      </c>
      <c r="G391" s="3">
        <v>81511</v>
      </c>
      <c r="H391" s="3">
        <v>173076</v>
      </c>
      <c r="I391">
        <v>29</v>
      </c>
      <c r="J391" s="3">
        <v>0.97</v>
      </c>
      <c r="K391">
        <v>6.29</v>
      </c>
      <c r="L391">
        <v>1.2</v>
      </c>
      <c r="M391">
        <v>2</v>
      </c>
      <c r="N391">
        <v>346</v>
      </c>
      <c r="O391" s="3">
        <f t="shared" si="12"/>
        <v>28202806</v>
      </c>
      <c r="P391" s="3">
        <f t="shared" si="13"/>
        <v>28029730</v>
      </c>
    </row>
    <row r="392" spans="1:16">
      <c r="A392">
        <v>2023</v>
      </c>
      <c r="B392" t="s">
        <v>50</v>
      </c>
      <c r="C392" t="s">
        <v>45</v>
      </c>
      <c r="D392" t="s">
        <v>30</v>
      </c>
      <c r="E392" t="s">
        <v>23</v>
      </c>
      <c r="F392" t="s">
        <v>24</v>
      </c>
      <c r="G392" s="3">
        <v>119307</v>
      </c>
      <c r="H392" s="3">
        <v>208177</v>
      </c>
      <c r="I392">
        <v>67</v>
      </c>
      <c r="J392" s="3">
        <v>0.97</v>
      </c>
      <c r="K392">
        <v>6.29</v>
      </c>
      <c r="L392">
        <v>1.2</v>
      </c>
      <c r="M392">
        <v>7</v>
      </c>
      <c r="N392">
        <v>353</v>
      </c>
      <c r="O392" s="3">
        <f t="shared" si="12"/>
        <v>42115371</v>
      </c>
      <c r="P392" s="3">
        <f t="shared" si="13"/>
        <v>41907194</v>
      </c>
    </row>
    <row r="393" spans="1:16">
      <c r="A393">
        <v>2019</v>
      </c>
      <c r="B393" t="s">
        <v>21</v>
      </c>
      <c r="C393" t="s">
        <v>40</v>
      </c>
      <c r="D393" t="s">
        <v>27</v>
      </c>
      <c r="E393" t="s">
        <v>23</v>
      </c>
      <c r="F393" t="s">
        <v>28</v>
      </c>
      <c r="G393" s="3">
        <v>64320</v>
      </c>
      <c r="H393" s="3">
        <v>444093</v>
      </c>
      <c r="I393">
        <v>121</v>
      </c>
      <c r="J393" s="3">
        <v>0.97</v>
      </c>
      <c r="K393">
        <v>6.29</v>
      </c>
      <c r="L393">
        <v>1.2</v>
      </c>
      <c r="M393">
        <v>2</v>
      </c>
      <c r="N393">
        <v>620</v>
      </c>
      <c r="O393" s="3">
        <f t="shared" si="12"/>
        <v>39878400</v>
      </c>
      <c r="P393" s="3">
        <f t="shared" si="13"/>
        <v>39434307</v>
      </c>
    </row>
    <row r="394" spans="1:16">
      <c r="A394">
        <v>2015</v>
      </c>
      <c r="B394" t="s">
        <v>16</v>
      </c>
      <c r="C394" t="s">
        <v>34</v>
      </c>
      <c r="D394" t="s">
        <v>18</v>
      </c>
      <c r="E394" t="s">
        <v>19</v>
      </c>
      <c r="F394" t="s">
        <v>28</v>
      </c>
      <c r="G394" s="3">
        <v>104876</v>
      </c>
      <c r="H394" s="3">
        <v>229425</v>
      </c>
      <c r="I394">
        <v>322</v>
      </c>
      <c r="J394" s="3">
        <v>0.97</v>
      </c>
      <c r="K394">
        <v>6.29</v>
      </c>
      <c r="L394">
        <v>1.2</v>
      </c>
      <c r="M394">
        <v>7</v>
      </c>
      <c r="N394">
        <v>675</v>
      </c>
      <c r="O394" s="3">
        <f t="shared" si="12"/>
        <v>70791300</v>
      </c>
      <c r="P394" s="3">
        <f t="shared" si="13"/>
        <v>70561875</v>
      </c>
    </row>
    <row r="395" spans="1:16">
      <c r="A395">
        <v>2024</v>
      </c>
      <c r="B395" t="s">
        <v>35</v>
      </c>
      <c r="C395" t="s">
        <v>26</v>
      </c>
      <c r="D395" t="s">
        <v>32</v>
      </c>
      <c r="E395" t="s">
        <v>19</v>
      </c>
      <c r="F395" t="s">
        <v>28</v>
      </c>
      <c r="G395" s="3">
        <v>69924</v>
      </c>
      <c r="H395" s="3">
        <v>395932</v>
      </c>
      <c r="I395">
        <v>205</v>
      </c>
      <c r="J395" s="3">
        <v>0.97</v>
      </c>
      <c r="K395">
        <v>6.29</v>
      </c>
      <c r="L395">
        <v>1.2</v>
      </c>
      <c r="M395">
        <v>9</v>
      </c>
      <c r="N395">
        <v>667</v>
      </c>
      <c r="O395" s="3">
        <f t="shared" si="12"/>
        <v>46639308</v>
      </c>
      <c r="P395" s="3">
        <f t="shared" si="13"/>
        <v>46243376</v>
      </c>
    </row>
    <row r="396" spans="1:16">
      <c r="A396">
        <v>2024</v>
      </c>
      <c r="B396" t="s">
        <v>48</v>
      </c>
      <c r="C396" t="s">
        <v>38</v>
      </c>
      <c r="D396" t="s">
        <v>41</v>
      </c>
      <c r="E396" t="s">
        <v>23</v>
      </c>
      <c r="F396" t="s">
        <v>20</v>
      </c>
      <c r="G396" s="3">
        <v>116720</v>
      </c>
      <c r="H396" s="3">
        <v>409014</v>
      </c>
      <c r="I396">
        <v>384</v>
      </c>
      <c r="J396" s="3">
        <v>0.97</v>
      </c>
      <c r="K396">
        <v>6.29</v>
      </c>
      <c r="L396">
        <v>1.2</v>
      </c>
      <c r="M396">
        <v>2</v>
      </c>
      <c r="N396">
        <v>868</v>
      </c>
      <c r="O396" s="3">
        <f t="shared" si="12"/>
        <v>101312960</v>
      </c>
      <c r="P396" s="3">
        <f t="shared" si="13"/>
        <v>100903946</v>
      </c>
    </row>
    <row r="397" spans="1:16">
      <c r="A397">
        <v>2015</v>
      </c>
      <c r="B397" t="s">
        <v>47</v>
      </c>
      <c r="C397" t="s">
        <v>26</v>
      </c>
      <c r="D397" t="s">
        <v>22</v>
      </c>
      <c r="E397" t="s">
        <v>23</v>
      </c>
      <c r="F397" t="s">
        <v>28</v>
      </c>
      <c r="G397" s="3">
        <v>75734</v>
      </c>
      <c r="H397" s="3">
        <v>265657</v>
      </c>
      <c r="I397">
        <v>362</v>
      </c>
      <c r="J397" s="3">
        <v>0.97</v>
      </c>
      <c r="K397">
        <v>6.29</v>
      </c>
      <c r="L397">
        <v>1.2</v>
      </c>
      <c r="M397">
        <v>7</v>
      </c>
      <c r="N397">
        <v>836</v>
      </c>
      <c r="O397" s="3">
        <f t="shared" si="12"/>
        <v>63313624</v>
      </c>
      <c r="P397" s="3">
        <f t="shared" si="13"/>
        <v>63047967</v>
      </c>
    </row>
    <row r="398" spans="1:16">
      <c r="A398">
        <v>2016</v>
      </c>
      <c r="B398" t="s">
        <v>53</v>
      </c>
      <c r="C398" t="s">
        <v>40</v>
      </c>
      <c r="D398" t="s">
        <v>41</v>
      </c>
      <c r="E398" t="s">
        <v>23</v>
      </c>
      <c r="F398" t="s">
        <v>20</v>
      </c>
      <c r="G398" s="3">
        <v>103116</v>
      </c>
      <c r="H398" s="3">
        <v>395452</v>
      </c>
      <c r="I398">
        <v>101</v>
      </c>
      <c r="J398" s="3">
        <v>0.97</v>
      </c>
      <c r="K398">
        <v>6.29</v>
      </c>
      <c r="L398">
        <v>1.2</v>
      </c>
      <c r="M398">
        <v>4</v>
      </c>
      <c r="N398">
        <v>231</v>
      </c>
      <c r="O398" s="3">
        <f t="shared" si="12"/>
        <v>23819796</v>
      </c>
      <c r="P398" s="3">
        <f t="shared" si="13"/>
        <v>23424344</v>
      </c>
    </row>
    <row r="399" spans="1:16">
      <c r="A399">
        <v>2020</v>
      </c>
      <c r="B399" t="s">
        <v>16</v>
      </c>
      <c r="C399" t="s">
        <v>34</v>
      </c>
      <c r="D399" t="s">
        <v>27</v>
      </c>
      <c r="E399" t="s">
        <v>23</v>
      </c>
      <c r="F399" t="s">
        <v>33</v>
      </c>
      <c r="G399" s="3">
        <v>75025</v>
      </c>
      <c r="H399" s="3">
        <v>494783</v>
      </c>
      <c r="I399">
        <v>61</v>
      </c>
      <c r="J399" s="3">
        <v>0.97</v>
      </c>
      <c r="K399">
        <v>6.29</v>
      </c>
      <c r="L399">
        <v>1.2</v>
      </c>
      <c r="M399">
        <v>2</v>
      </c>
      <c r="N399">
        <v>567</v>
      </c>
      <c r="O399" s="3">
        <f t="shared" si="12"/>
        <v>42539175</v>
      </c>
      <c r="P399" s="3">
        <f t="shared" si="13"/>
        <v>42044392</v>
      </c>
    </row>
    <row r="400" spans="1:16">
      <c r="A400">
        <v>2023</v>
      </c>
      <c r="B400" t="s">
        <v>43</v>
      </c>
      <c r="C400" t="s">
        <v>51</v>
      </c>
      <c r="D400" t="s">
        <v>41</v>
      </c>
      <c r="E400" t="s">
        <v>23</v>
      </c>
      <c r="F400" t="s">
        <v>24</v>
      </c>
      <c r="G400" s="3">
        <v>37159</v>
      </c>
      <c r="H400" s="3">
        <v>370057</v>
      </c>
      <c r="I400">
        <v>302</v>
      </c>
      <c r="J400" s="3">
        <v>0.97</v>
      </c>
      <c r="K400">
        <v>6.29</v>
      </c>
      <c r="L400">
        <v>1.2</v>
      </c>
      <c r="M400">
        <v>7</v>
      </c>
      <c r="N400">
        <v>1016</v>
      </c>
      <c r="O400" s="3">
        <f t="shared" si="12"/>
        <v>37753544</v>
      </c>
      <c r="P400" s="3">
        <f t="shared" si="13"/>
        <v>37383487</v>
      </c>
    </row>
    <row r="401" spans="1:16">
      <c r="A401">
        <v>2022</v>
      </c>
      <c r="B401" t="s">
        <v>25</v>
      </c>
      <c r="C401" t="s">
        <v>40</v>
      </c>
      <c r="D401" t="s">
        <v>32</v>
      </c>
      <c r="E401" t="s">
        <v>19</v>
      </c>
      <c r="F401" t="s">
        <v>28</v>
      </c>
      <c r="G401" s="3">
        <v>83940</v>
      </c>
      <c r="H401" s="3">
        <v>52637</v>
      </c>
      <c r="I401">
        <v>17</v>
      </c>
      <c r="J401" s="3">
        <v>0.97</v>
      </c>
      <c r="K401">
        <v>6.29</v>
      </c>
      <c r="L401">
        <v>1.2</v>
      </c>
      <c r="M401">
        <v>5</v>
      </c>
      <c r="N401">
        <v>386</v>
      </c>
      <c r="O401" s="3">
        <f t="shared" si="12"/>
        <v>32400840</v>
      </c>
      <c r="P401" s="3">
        <f t="shared" si="13"/>
        <v>32348203</v>
      </c>
    </row>
    <row r="402" spans="1:16">
      <c r="A402">
        <v>2019</v>
      </c>
      <c r="B402" t="s">
        <v>53</v>
      </c>
      <c r="C402" t="s">
        <v>44</v>
      </c>
      <c r="D402" t="s">
        <v>27</v>
      </c>
      <c r="E402" t="s">
        <v>23</v>
      </c>
      <c r="F402" t="s">
        <v>24</v>
      </c>
      <c r="G402" s="3">
        <v>114436</v>
      </c>
      <c r="H402" s="3">
        <v>354169</v>
      </c>
      <c r="I402">
        <v>309</v>
      </c>
      <c r="J402" s="3">
        <v>0.97</v>
      </c>
      <c r="K402">
        <v>6.29</v>
      </c>
      <c r="L402">
        <v>1.2</v>
      </c>
      <c r="M402">
        <v>1</v>
      </c>
      <c r="N402">
        <v>730</v>
      </c>
      <c r="O402" s="3">
        <f t="shared" si="12"/>
        <v>83538280</v>
      </c>
      <c r="P402" s="3">
        <f t="shared" si="13"/>
        <v>83184111</v>
      </c>
    </row>
    <row r="403" spans="1:16">
      <c r="A403">
        <v>2015</v>
      </c>
      <c r="B403" t="s">
        <v>50</v>
      </c>
      <c r="C403" t="s">
        <v>34</v>
      </c>
      <c r="D403" t="s">
        <v>22</v>
      </c>
      <c r="E403" t="s">
        <v>23</v>
      </c>
      <c r="F403" t="s">
        <v>24</v>
      </c>
      <c r="G403" s="3">
        <v>111976</v>
      </c>
      <c r="H403" s="3">
        <v>287989</v>
      </c>
      <c r="I403">
        <v>107</v>
      </c>
      <c r="J403" s="3">
        <v>0.97</v>
      </c>
      <c r="K403">
        <v>6.29</v>
      </c>
      <c r="L403">
        <v>1.2</v>
      </c>
      <c r="M403">
        <v>5</v>
      </c>
      <c r="N403">
        <v>552</v>
      </c>
      <c r="O403" s="3">
        <f t="shared" si="12"/>
        <v>61810752</v>
      </c>
      <c r="P403" s="3">
        <f t="shared" si="13"/>
        <v>61522763</v>
      </c>
    </row>
    <row r="404" spans="1:16">
      <c r="A404">
        <v>2021</v>
      </c>
      <c r="B404" t="s">
        <v>49</v>
      </c>
      <c r="C404" t="s">
        <v>45</v>
      </c>
      <c r="D404" t="s">
        <v>39</v>
      </c>
      <c r="E404" t="s">
        <v>23</v>
      </c>
      <c r="F404" t="s">
        <v>28</v>
      </c>
      <c r="G404" s="3">
        <v>49678</v>
      </c>
      <c r="H404" s="3">
        <v>282259</v>
      </c>
      <c r="I404">
        <v>245</v>
      </c>
      <c r="J404" s="3">
        <v>0.97</v>
      </c>
      <c r="K404">
        <v>6.29</v>
      </c>
      <c r="L404">
        <v>1.2</v>
      </c>
      <c r="M404">
        <v>3</v>
      </c>
      <c r="N404">
        <v>875</v>
      </c>
      <c r="O404" s="3">
        <f t="shared" si="12"/>
        <v>43468250</v>
      </c>
      <c r="P404" s="3">
        <f t="shared" si="13"/>
        <v>43185991</v>
      </c>
    </row>
    <row r="405" spans="1:16">
      <c r="A405">
        <v>2019</v>
      </c>
      <c r="B405" t="s">
        <v>43</v>
      </c>
      <c r="C405" t="s">
        <v>34</v>
      </c>
      <c r="D405" t="s">
        <v>36</v>
      </c>
      <c r="E405" t="s">
        <v>19</v>
      </c>
      <c r="F405" t="s">
        <v>28</v>
      </c>
      <c r="G405" s="3">
        <v>96075</v>
      </c>
      <c r="H405" s="3">
        <v>411652</v>
      </c>
      <c r="I405">
        <v>398</v>
      </c>
      <c r="J405" s="3">
        <v>0.97</v>
      </c>
      <c r="K405">
        <v>6.29</v>
      </c>
      <c r="L405">
        <v>1.2</v>
      </c>
      <c r="M405">
        <v>7</v>
      </c>
      <c r="N405">
        <v>1083</v>
      </c>
      <c r="O405" s="3">
        <f t="shared" si="12"/>
        <v>104049225</v>
      </c>
      <c r="P405" s="3">
        <f t="shared" si="13"/>
        <v>103637573</v>
      </c>
    </row>
    <row r="406" spans="1:16">
      <c r="A406">
        <v>2020</v>
      </c>
      <c r="B406" t="s">
        <v>53</v>
      </c>
      <c r="C406" t="s">
        <v>45</v>
      </c>
      <c r="D406" t="s">
        <v>27</v>
      </c>
      <c r="E406" t="s">
        <v>23</v>
      </c>
      <c r="F406" t="s">
        <v>33</v>
      </c>
      <c r="G406" s="3">
        <v>82204</v>
      </c>
      <c r="H406" s="3">
        <v>132464</v>
      </c>
      <c r="I406">
        <v>383</v>
      </c>
      <c r="J406" s="3">
        <v>0.97</v>
      </c>
      <c r="K406">
        <v>6.29</v>
      </c>
      <c r="L406">
        <v>1.2</v>
      </c>
      <c r="M406">
        <v>6</v>
      </c>
      <c r="N406">
        <v>978</v>
      </c>
      <c r="O406" s="3">
        <f t="shared" si="12"/>
        <v>80395512</v>
      </c>
      <c r="P406" s="3">
        <f t="shared" si="13"/>
        <v>80263048</v>
      </c>
    </row>
    <row r="407" spans="1:16">
      <c r="A407">
        <v>2021</v>
      </c>
      <c r="B407" t="s">
        <v>29</v>
      </c>
      <c r="C407" t="s">
        <v>17</v>
      </c>
      <c r="D407" t="s">
        <v>52</v>
      </c>
      <c r="E407" t="s">
        <v>19</v>
      </c>
      <c r="F407" t="s">
        <v>20</v>
      </c>
      <c r="G407" s="3">
        <v>47021</v>
      </c>
      <c r="H407" s="3">
        <v>340886</v>
      </c>
      <c r="I407">
        <v>78</v>
      </c>
      <c r="J407" s="3">
        <v>0.97</v>
      </c>
      <c r="K407">
        <v>6.29</v>
      </c>
      <c r="L407">
        <v>1.2</v>
      </c>
      <c r="M407">
        <v>8</v>
      </c>
      <c r="N407">
        <v>248</v>
      </c>
      <c r="O407" s="3">
        <f t="shared" si="12"/>
        <v>11661208</v>
      </c>
      <c r="P407" s="3">
        <f t="shared" si="13"/>
        <v>11320322</v>
      </c>
    </row>
    <row r="408" spans="1:16">
      <c r="A408">
        <v>2017</v>
      </c>
      <c r="B408" t="s">
        <v>50</v>
      </c>
      <c r="C408" t="s">
        <v>38</v>
      </c>
      <c r="D408" t="s">
        <v>32</v>
      </c>
      <c r="E408" t="s">
        <v>19</v>
      </c>
      <c r="F408" t="s">
        <v>20</v>
      </c>
      <c r="G408" s="3">
        <v>41772</v>
      </c>
      <c r="H408" s="3">
        <v>61831</v>
      </c>
      <c r="I408">
        <v>54</v>
      </c>
      <c r="J408" s="3">
        <v>0.97</v>
      </c>
      <c r="K408">
        <v>6.29</v>
      </c>
      <c r="L408">
        <v>1.2</v>
      </c>
      <c r="M408">
        <v>5</v>
      </c>
      <c r="N408">
        <v>351</v>
      </c>
      <c r="O408" s="3">
        <f t="shared" si="12"/>
        <v>14661972</v>
      </c>
      <c r="P408" s="3">
        <f t="shared" si="13"/>
        <v>14600141</v>
      </c>
    </row>
    <row r="409" spans="1:16">
      <c r="A409">
        <v>2024</v>
      </c>
      <c r="B409" t="s">
        <v>53</v>
      </c>
      <c r="C409" t="s">
        <v>31</v>
      </c>
      <c r="D409" t="s">
        <v>27</v>
      </c>
      <c r="E409" t="s">
        <v>23</v>
      </c>
      <c r="F409" t="s">
        <v>24</v>
      </c>
      <c r="G409" s="3">
        <v>102163</v>
      </c>
      <c r="H409" s="3">
        <v>163768</v>
      </c>
      <c r="I409">
        <v>146</v>
      </c>
      <c r="J409" s="3">
        <v>0.97</v>
      </c>
      <c r="K409">
        <v>6.29</v>
      </c>
      <c r="L409">
        <v>1.2</v>
      </c>
      <c r="M409">
        <v>2</v>
      </c>
      <c r="N409">
        <v>556</v>
      </c>
      <c r="O409" s="3">
        <f t="shared" si="12"/>
        <v>56802628</v>
      </c>
      <c r="P409" s="3">
        <f t="shared" si="13"/>
        <v>56638860</v>
      </c>
    </row>
    <row r="410" spans="1:16">
      <c r="A410">
        <v>2017</v>
      </c>
      <c r="B410" t="s">
        <v>49</v>
      </c>
      <c r="C410" t="s">
        <v>34</v>
      </c>
      <c r="D410" t="s">
        <v>27</v>
      </c>
      <c r="E410" t="s">
        <v>23</v>
      </c>
      <c r="F410" t="s">
        <v>28</v>
      </c>
      <c r="G410" s="3">
        <v>108755</v>
      </c>
      <c r="H410" s="3">
        <v>296983</v>
      </c>
      <c r="I410">
        <v>243</v>
      </c>
      <c r="J410" s="3">
        <v>0.97</v>
      </c>
      <c r="K410">
        <v>6.29</v>
      </c>
      <c r="L410">
        <v>1.2</v>
      </c>
      <c r="M410">
        <v>9</v>
      </c>
      <c r="N410">
        <v>578</v>
      </c>
      <c r="O410" s="3">
        <f t="shared" si="12"/>
        <v>62860390</v>
      </c>
      <c r="P410" s="3">
        <f t="shared" si="13"/>
        <v>62563407</v>
      </c>
    </row>
    <row r="411" spans="1:16">
      <c r="A411">
        <v>2019</v>
      </c>
      <c r="B411" t="s">
        <v>29</v>
      </c>
      <c r="C411" t="s">
        <v>46</v>
      </c>
      <c r="D411" t="s">
        <v>52</v>
      </c>
      <c r="E411" t="s">
        <v>19</v>
      </c>
      <c r="F411" t="s">
        <v>33</v>
      </c>
      <c r="G411" s="3">
        <v>58464</v>
      </c>
      <c r="H411" s="3">
        <v>397236</v>
      </c>
      <c r="I411">
        <v>41</v>
      </c>
      <c r="J411" s="3">
        <v>0.97</v>
      </c>
      <c r="K411">
        <v>6.29</v>
      </c>
      <c r="L411">
        <v>1.2</v>
      </c>
      <c r="M411">
        <v>8</v>
      </c>
      <c r="N411">
        <v>147</v>
      </c>
      <c r="O411" s="3">
        <f t="shared" si="12"/>
        <v>8594208</v>
      </c>
      <c r="P411" s="3">
        <f t="shared" si="13"/>
        <v>8196972</v>
      </c>
    </row>
    <row r="412" spans="1:16">
      <c r="A412">
        <v>2020</v>
      </c>
      <c r="B412" t="s">
        <v>50</v>
      </c>
      <c r="C412" t="s">
        <v>44</v>
      </c>
      <c r="D412" t="s">
        <v>22</v>
      </c>
      <c r="E412" t="s">
        <v>23</v>
      </c>
      <c r="F412" t="s">
        <v>33</v>
      </c>
      <c r="G412" s="3">
        <v>86137</v>
      </c>
      <c r="H412" s="3">
        <v>403023</v>
      </c>
      <c r="I412">
        <v>298</v>
      </c>
      <c r="J412" s="3">
        <v>0.97</v>
      </c>
      <c r="K412">
        <v>6.29</v>
      </c>
      <c r="L412">
        <v>1.2</v>
      </c>
      <c r="M412">
        <v>6</v>
      </c>
      <c r="N412">
        <v>886</v>
      </c>
      <c r="O412" s="3">
        <f t="shared" si="12"/>
        <v>76317382</v>
      </c>
      <c r="P412" s="3">
        <f t="shared" si="13"/>
        <v>75914359</v>
      </c>
    </row>
    <row r="413" spans="1:16">
      <c r="A413">
        <v>2023</v>
      </c>
      <c r="B413" t="s">
        <v>35</v>
      </c>
      <c r="C413" t="s">
        <v>40</v>
      </c>
      <c r="D413" t="s">
        <v>27</v>
      </c>
      <c r="E413" t="s">
        <v>23</v>
      </c>
      <c r="F413" t="s">
        <v>33</v>
      </c>
      <c r="G413" s="3">
        <v>65232</v>
      </c>
      <c r="H413" s="3">
        <v>400514</v>
      </c>
      <c r="I413">
        <v>135</v>
      </c>
      <c r="J413" s="3">
        <v>0.97</v>
      </c>
      <c r="K413">
        <v>6.29</v>
      </c>
      <c r="L413">
        <v>1.2</v>
      </c>
      <c r="M413">
        <v>10</v>
      </c>
      <c r="N413">
        <v>319</v>
      </c>
      <c r="O413" s="3">
        <f t="shared" si="12"/>
        <v>20809008</v>
      </c>
      <c r="P413" s="3">
        <f t="shared" si="13"/>
        <v>20408494</v>
      </c>
    </row>
    <row r="414" spans="1:16">
      <c r="A414">
        <v>2019</v>
      </c>
      <c r="B414" t="s">
        <v>16</v>
      </c>
      <c r="C414" t="s">
        <v>44</v>
      </c>
      <c r="D414" t="s">
        <v>36</v>
      </c>
      <c r="E414" t="s">
        <v>19</v>
      </c>
      <c r="F414" t="s">
        <v>33</v>
      </c>
      <c r="G414" s="3">
        <v>96497</v>
      </c>
      <c r="H414" s="3">
        <v>438681</v>
      </c>
      <c r="I414">
        <v>76</v>
      </c>
      <c r="J414" s="3">
        <v>0.97</v>
      </c>
      <c r="K414">
        <v>6.29</v>
      </c>
      <c r="L414">
        <v>1.2</v>
      </c>
      <c r="M414">
        <v>7</v>
      </c>
      <c r="N414">
        <v>369</v>
      </c>
      <c r="O414" s="3">
        <f t="shared" si="12"/>
        <v>35607393</v>
      </c>
      <c r="P414" s="3">
        <f t="shared" si="13"/>
        <v>35168712</v>
      </c>
    </row>
    <row r="415" spans="1:16">
      <c r="A415">
        <v>2015</v>
      </c>
      <c r="B415" t="s">
        <v>37</v>
      </c>
      <c r="C415" t="s">
        <v>26</v>
      </c>
      <c r="D415" t="s">
        <v>41</v>
      </c>
      <c r="E415" t="s">
        <v>23</v>
      </c>
      <c r="F415" t="s">
        <v>33</v>
      </c>
      <c r="G415" s="3">
        <v>109024</v>
      </c>
      <c r="H415" s="3">
        <v>489978</v>
      </c>
      <c r="I415">
        <v>39</v>
      </c>
      <c r="J415" s="3">
        <v>0.97</v>
      </c>
      <c r="K415">
        <v>6.29</v>
      </c>
      <c r="L415">
        <v>1.2</v>
      </c>
      <c r="M415">
        <v>9</v>
      </c>
      <c r="N415">
        <v>493</v>
      </c>
      <c r="O415" s="3">
        <f t="shared" si="12"/>
        <v>53748832</v>
      </c>
      <c r="P415" s="3">
        <f t="shared" si="13"/>
        <v>53258854</v>
      </c>
    </row>
    <row r="416" spans="1:16">
      <c r="A416">
        <v>2018</v>
      </c>
      <c r="B416" t="s">
        <v>25</v>
      </c>
      <c r="C416" t="s">
        <v>31</v>
      </c>
      <c r="D416" t="s">
        <v>22</v>
      </c>
      <c r="E416" t="s">
        <v>23</v>
      </c>
      <c r="F416" t="s">
        <v>20</v>
      </c>
      <c r="G416" s="3">
        <v>86448</v>
      </c>
      <c r="H416" s="3">
        <v>154824</v>
      </c>
      <c r="I416">
        <v>123</v>
      </c>
      <c r="J416" s="3">
        <v>0.97</v>
      </c>
      <c r="K416">
        <v>6.29</v>
      </c>
      <c r="L416">
        <v>1.2</v>
      </c>
      <c r="M416">
        <v>7</v>
      </c>
      <c r="N416">
        <v>581</v>
      </c>
      <c r="O416" s="3">
        <f t="shared" si="12"/>
        <v>50226288</v>
      </c>
      <c r="P416" s="3">
        <f t="shared" si="13"/>
        <v>50071464</v>
      </c>
    </row>
    <row r="417" spans="1:16">
      <c r="A417">
        <v>2019</v>
      </c>
      <c r="B417" t="s">
        <v>47</v>
      </c>
      <c r="C417" t="s">
        <v>26</v>
      </c>
      <c r="D417" t="s">
        <v>36</v>
      </c>
      <c r="E417" t="s">
        <v>19</v>
      </c>
      <c r="F417" t="s">
        <v>20</v>
      </c>
      <c r="G417" s="3">
        <v>119517</v>
      </c>
      <c r="H417" s="3">
        <v>138741</v>
      </c>
      <c r="I417">
        <v>213</v>
      </c>
      <c r="J417" s="3">
        <v>0.97</v>
      </c>
      <c r="K417">
        <v>6.29</v>
      </c>
      <c r="L417">
        <v>1.2</v>
      </c>
      <c r="M417">
        <v>3</v>
      </c>
      <c r="N417">
        <v>517</v>
      </c>
      <c r="O417" s="3">
        <f t="shared" si="12"/>
        <v>61790289</v>
      </c>
      <c r="P417" s="3">
        <f t="shared" si="13"/>
        <v>61651548</v>
      </c>
    </row>
    <row r="418" spans="1:16">
      <c r="A418">
        <v>2024</v>
      </c>
      <c r="B418" t="s">
        <v>21</v>
      </c>
      <c r="C418" t="s">
        <v>17</v>
      </c>
      <c r="D418" t="s">
        <v>22</v>
      </c>
      <c r="E418" t="s">
        <v>23</v>
      </c>
      <c r="F418" t="s">
        <v>20</v>
      </c>
      <c r="G418" s="3">
        <v>35901</v>
      </c>
      <c r="H418" s="3">
        <v>68830</v>
      </c>
      <c r="I418">
        <v>38</v>
      </c>
      <c r="J418" s="3">
        <v>0.97</v>
      </c>
      <c r="K418">
        <v>6.29</v>
      </c>
      <c r="L418">
        <v>1.2</v>
      </c>
      <c r="M418">
        <v>6</v>
      </c>
      <c r="N418">
        <v>207</v>
      </c>
      <c r="O418" s="3">
        <f t="shared" si="12"/>
        <v>7431507</v>
      </c>
      <c r="P418" s="3">
        <f t="shared" si="13"/>
        <v>7362677</v>
      </c>
    </row>
    <row r="419" spans="1:16">
      <c r="A419">
        <v>2024</v>
      </c>
      <c r="B419" t="s">
        <v>25</v>
      </c>
      <c r="C419" t="s">
        <v>31</v>
      </c>
      <c r="D419" t="s">
        <v>36</v>
      </c>
      <c r="E419" t="s">
        <v>19</v>
      </c>
      <c r="F419" t="s">
        <v>28</v>
      </c>
      <c r="G419" s="3">
        <v>118597</v>
      </c>
      <c r="H419" s="3">
        <v>367188</v>
      </c>
      <c r="I419">
        <v>140</v>
      </c>
      <c r="J419" s="3">
        <v>0.97</v>
      </c>
      <c r="K419">
        <v>6.29</v>
      </c>
      <c r="L419">
        <v>1.2</v>
      </c>
      <c r="M419">
        <v>7</v>
      </c>
      <c r="N419">
        <v>281</v>
      </c>
      <c r="O419" s="3">
        <f t="shared" si="12"/>
        <v>33325757</v>
      </c>
      <c r="P419" s="3">
        <f t="shared" si="13"/>
        <v>32958569</v>
      </c>
    </row>
    <row r="420" spans="1:16">
      <c r="A420">
        <v>2019</v>
      </c>
      <c r="B420" t="s">
        <v>47</v>
      </c>
      <c r="C420" t="s">
        <v>31</v>
      </c>
      <c r="D420" t="s">
        <v>32</v>
      </c>
      <c r="E420" t="s">
        <v>19</v>
      </c>
      <c r="F420" t="s">
        <v>24</v>
      </c>
      <c r="G420" s="3">
        <v>37881</v>
      </c>
      <c r="H420" s="3">
        <v>386092</v>
      </c>
      <c r="I420">
        <v>194</v>
      </c>
      <c r="J420" s="3">
        <v>0.97</v>
      </c>
      <c r="K420">
        <v>6.29</v>
      </c>
      <c r="L420">
        <v>1.2</v>
      </c>
      <c r="M420">
        <v>2</v>
      </c>
      <c r="N420">
        <v>775</v>
      </c>
      <c r="O420" s="3">
        <f t="shared" si="12"/>
        <v>29357775</v>
      </c>
      <c r="P420" s="3">
        <f t="shared" si="13"/>
        <v>28971683</v>
      </c>
    </row>
    <row r="421" spans="1:16">
      <c r="A421">
        <v>2021</v>
      </c>
      <c r="B421" t="s">
        <v>43</v>
      </c>
      <c r="C421" t="s">
        <v>26</v>
      </c>
      <c r="D421" t="s">
        <v>36</v>
      </c>
      <c r="E421" t="s">
        <v>19</v>
      </c>
      <c r="F421" t="s">
        <v>33</v>
      </c>
      <c r="G421" s="3">
        <v>64863</v>
      </c>
      <c r="H421" s="3">
        <v>119202</v>
      </c>
      <c r="I421">
        <v>262</v>
      </c>
      <c r="J421" s="3">
        <v>0.97</v>
      </c>
      <c r="K421">
        <v>6.29</v>
      </c>
      <c r="L421">
        <v>1.2</v>
      </c>
      <c r="M421">
        <v>3</v>
      </c>
      <c r="N421">
        <v>724</v>
      </c>
      <c r="O421" s="3">
        <f t="shared" si="12"/>
        <v>46960812</v>
      </c>
      <c r="P421" s="3">
        <f t="shared" si="13"/>
        <v>46841610</v>
      </c>
    </row>
    <row r="422" spans="1:16">
      <c r="A422">
        <v>2018</v>
      </c>
      <c r="B422" t="s">
        <v>47</v>
      </c>
      <c r="C422" t="s">
        <v>45</v>
      </c>
      <c r="D422" t="s">
        <v>42</v>
      </c>
      <c r="E422" t="s">
        <v>19</v>
      </c>
      <c r="F422" t="s">
        <v>28</v>
      </c>
      <c r="G422" s="3">
        <v>40622</v>
      </c>
      <c r="H422" s="3">
        <v>349189</v>
      </c>
      <c r="I422">
        <v>295</v>
      </c>
      <c r="J422" s="3">
        <v>0.97</v>
      </c>
      <c r="K422">
        <v>6.29</v>
      </c>
      <c r="L422">
        <v>1.2</v>
      </c>
      <c r="M422">
        <v>4</v>
      </c>
      <c r="N422">
        <v>664</v>
      </c>
      <c r="O422" s="3">
        <f t="shared" si="12"/>
        <v>26973008</v>
      </c>
      <c r="P422" s="3">
        <f t="shared" si="13"/>
        <v>26623819</v>
      </c>
    </row>
    <row r="423" spans="1:16">
      <c r="A423">
        <v>2015</v>
      </c>
      <c r="B423" t="s">
        <v>50</v>
      </c>
      <c r="C423" t="s">
        <v>26</v>
      </c>
      <c r="D423" t="s">
        <v>36</v>
      </c>
      <c r="E423" t="s">
        <v>19</v>
      </c>
      <c r="F423" t="s">
        <v>33</v>
      </c>
      <c r="G423" s="3">
        <v>36378</v>
      </c>
      <c r="H423" s="3">
        <v>267394</v>
      </c>
      <c r="I423">
        <v>395</v>
      </c>
      <c r="J423" s="3">
        <v>0.97</v>
      </c>
      <c r="K423">
        <v>6.29</v>
      </c>
      <c r="L423">
        <v>1.2</v>
      </c>
      <c r="M423">
        <v>10</v>
      </c>
      <c r="N423">
        <v>953</v>
      </c>
      <c r="O423" s="3">
        <f t="shared" si="12"/>
        <v>34668234</v>
      </c>
      <c r="P423" s="3">
        <f t="shared" si="13"/>
        <v>34400840</v>
      </c>
    </row>
    <row r="424" spans="1:16">
      <c r="A424">
        <v>2019</v>
      </c>
      <c r="B424" t="s">
        <v>35</v>
      </c>
      <c r="C424" t="s">
        <v>44</v>
      </c>
      <c r="D424" t="s">
        <v>39</v>
      </c>
      <c r="E424" t="s">
        <v>23</v>
      </c>
      <c r="F424" t="s">
        <v>20</v>
      </c>
      <c r="G424" s="3">
        <v>118168</v>
      </c>
      <c r="H424" s="3">
        <v>252123</v>
      </c>
      <c r="I424">
        <v>71</v>
      </c>
      <c r="J424" s="3">
        <v>0.97</v>
      </c>
      <c r="K424">
        <v>6.29</v>
      </c>
      <c r="L424">
        <v>1.2</v>
      </c>
      <c r="M424">
        <v>6</v>
      </c>
      <c r="N424">
        <v>187</v>
      </c>
      <c r="O424" s="3">
        <f t="shared" si="12"/>
        <v>22097416</v>
      </c>
      <c r="P424" s="3">
        <f t="shared" si="13"/>
        <v>21845293</v>
      </c>
    </row>
    <row r="425" spans="1:16">
      <c r="A425">
        <v>2021</v>
      </c>
      <c r="B425" t="s">
        <v>37</v>
      </c>
      <c r="C425" t="s">
        <v>45</v>
      </c>
      <c r="D425" t="s">
        <v>39</v>
      </c>
      <c r="E425" t="s">
        <v>23</v>
      </c>
      <c r="F425" t="s">
        <v>28</v>
      </c>
      <c r="G425" s="3">
        <v>106186</v>
      </c>
      <c r="H425" s="3">
        <v>419653</v>
      </c>
      <c r="I425">
        <v>12</v>
      </c>
      <c r="J425" s="3">
        <v>0.97</v>
      </c>
      <c r="K425">
        <v>6.29</v>
      </c>
      <c r="L425">
        <v>1.2</v>
      </c>
      <c r="M425">
        <v>1</v>
      </c>
      <c r="N425">
        <v>305</v>
      </c>
      <c r="O425" s="3">
        <f t="shared" si="12"/>
        <v>32386730</v>
      </c>
      <c r="P425" s="3">
        <f t="shared" si="13"/>
        <v>31967077</v>
      </c>
    </row>
    <row r="426" spans="1:16">
      <c r="A426">
        <v>2024</v>
      </c>
      <c r="B426" t="s">
        <v>16</v>
      </c>
      <c r="C426" t="s">
        <v>44</v>
      </c>
      <c r="D426" t="s">
        <v>30</v>
      </c>
      <c r="E426" t="s">
        <v>23</v>
      </c>
      <c r="F426" t="s">
        <v>20</v>
      </c>
      <c r="G426" s="3">
        <v>80201</v>
      </c>
      <c r="H426" s="3">
        <v>207699</v>
      </c>
      <c r="I426">
        <v>77</v>
      </c>
      <c r="J426" s="3">
        <v>0.97</v>
      </c>
      <c r="K426">
        <v>6.29</v>
      </c>
      <c r="L426">
        <v>1.2</v>
      </c>
      <c r="M426">
        <v>9</v>
      </c>
      <c r="N426">
        <v>525</v>
      </c>
      <c r="O426" s="3">
        <f t="shared" si="12"/>
        <v>42105525</v>
      </c>
      <c r="P426" s="3">
        <f t="shared" si="13"/>
        <v>41897826</v>
      </c>
    </row>
    <row r="427" spans="1:16">
      <c r="A427">
        <v>2024</v>
      </c>
      <c r="B427" t="s">
        <v>16</v>
      </c>
      <c r="C427" t="s">
        <v>17</v>
      </c>
      <c r="D427" t="s">
        <v>42</v>
      </c>
      <c r="E427" t="s">
        <v>19</v>
      </c>
      <c r="F427" t="s">
        <v>33</v>
      </c>
      <c r="G427" s="3">
        <v>94251</v>
      </c>
      <c r="H427" s="3">
        <v>327342</v>
      </c>
      <c r="I427">
        <v>34</v>
      </c>
      <c r="J427" s="3">
        <v>0.97</v>
      </c>
      <c r="K427">
        <v>6.29</v>
      </c>
      <c r="L427">
        <v>1.2</v>
      </c>
      <c r="M427">
        <v>5</v>
      </c>
      <c r="N427">
        <v>451</v>
      </c>
      <c r="O427" s="3">
        <f t="shared" si="12"/>
        <v>42507201</v>
      </c>
      <c r="P427" s="3">
        <f t="shared" si="13"/>
        <v>42179859</v>
      </c>
    </row>
    <row r="428" spans="1:16">
      <c r="A428">
        <v>2020</v>
      </c>
      <c r="B428" t="s">
        <v>49</v>
      </c>
      <c r="C428" t="s">
        <v>40</v>
      </c>
      <c r="D428" t="s">
        <v>42</v>
      </c>
      <c r="E428" t="s">
        <v>19</v>
      </c>
      <c r="F428" t="s">
        <v>33</v>
      </c>
      <c r="G428" s="3">
        <v>107572</v>
      </c>
      <c r="H428" s="3">
        <v>381665</v>
      </c>
      <c r="I428">
        <v>188</v>
      </c>
      <c r="J428" s="3">
        <v>0.97</v>
      </c>
      <c r="K428">
        <v>6.29</v>
      </c>
      <c r="L428">
        <v>1.2</v>
      </c>
      <c r="M428">
        <v>7</v>
      </c>
      <c r="N428">
        <v>813</v>
      </c>
      <c r="O428" s="3">
        <f t="shared" si="12"/>
        <v>87456036</v>
      </c>
      <c r="P428" s="3">
        <f t="shared" si="13"/>
        <v>87074371</v>
      </c>
    </row>
    <row r="429" spans="1:16">
      <c r="A429">
        <v>2019</v>
      </c>
      <c r="B429" t="s">
        <v>21</v>
      </c>
      <c r="C429" t="s">
        <v>51</v>
      </c>
      <c r="D429" t="s">
        <v>41</v>
      </c>
      <c r="E429" t="s">
        <v>23</v>
      </c>
      <c r="F429" t="s">
        <v>24</v>
      </c>
      <c r="G429" s="3">
        <v>74255</v>
      </c>
      <c r="H429" s="3">
        <v>156471</v>
      </c>
      <c r="I429">
        <v>150</v>
      </c>
      <c r="J429" s="3">
        <v>0.97</v>
      </c>
      <c r="K429">
        <v>6.29</v>
      </c>
      <c r="L429">
        <v>1.2</v>
      </c>
      <c r="M429">
        <v>9</v>
      </c>
      <c r="N429">
        <v>552</v>
      </c>
      <c r="O429" s="3">
        <f t="shared" si="12"/>
        <v>40988760</v>
      </c>
      <c r="P429" s="3">
        <f t="shared" si="13"/>
        <v>40832289</v>
      </c>
    </row>
    <row r="430" spans="1:16">
      <c r="A430">
        <v>2018</v>
      </c>
      <c r="B430" t="s">
        <v>53</v>
      </c>
      <c r="C430" t="s">
        <v>45</v>
      </c>
      <c r="D430" t="s">
        <v>42</v>
      </c>
      <c r="E430" t="s">
        <v>19</v>
      </c>
      <c r="F430" t="s">
        <v>33</v>
      </c>
      <c r="G430" s="3">
        <v>98212</v>
      </c>
      <c r="H430" s="3">
        <v>341619</v>
      </c>
      <c r="I430">
        <v>240</v>
      </c>
      <c r="J430" s="3">
        <v>0.97</v>
      </c>
      <c r="K430">
        <v>6.29</v>
      </c>
      <c r="L430">
        <v>1.2</v>
      </c>
      <c r="M430">
        <v>9</v>
      </c>
      <c r="N430">
        <v>911</v>
      </c>
      <c r="O430" s="3">
        <f t="shared" si="12"/>
        <v>89471132</v>
      </c>
      <c r="P430" s="3">
        <f t="shared" si="13"/>
        <v>89129513</v>
      </c>
    </row>
    <row r="431" spans="1:16">
      <c r="A431">
        <v>2016</v>
      </c>
      <c r="B431" t="s">
        <v>35</v>
      </c>
      <c r="C431" t="s">
        <v>17</v>
      </c>
      <c r="D431" t="s">
        <v>41</v>
      </c>
      <c r="E431" t="s">
        <v>23</v>
      </c>
      <c r="F431" t="s">
        <v>20</v>
      </c>
      <c r="G431" s="3">
        <v>85210</v>
      </c>
      <c r="H431" s="3">
        <v>286824</v>
      </c>
      <c r="I431">
        <v>309</v>
      </c>
      <c r="J431" s="3">
        <v>0.97</v>
      </c>
      <c r="K431">
        <v>6.29</v>
      </c>
      <c r="L431">
        <v>1.2</v>
      </c>
      <c r="M431">
        <v>1</v>
      </c>
      <c r="N431">
        <v>865</v>
      </c>
      <c r="O431" s="3">
        <f t="shared" si="12"/>
        <v>73706650</v>
      </c>
      <c r="P431" s="3">
        <f t="shared" si="13"/>
        <v>73419826</v>
      </c>
    </row>
    <row r="432" spans="1:16">
      <c r="A432">
        <v>2018</v>
      </c>
      <c r="B432" t="s">
        <v>53</v>
      </c>
      <c r="C432" t="s">
        <v>46</v>
      </c>
      <c r="D432" t="s">
        <v>30</v>
      </c>
      <c r="E432" t="s">
        <v>23</v>
      </c>
      <c r="F432" t="s">
        <v>33</v>
      </c>
      <c r="G432" s="3">
        <v>57499</v>
      </c>
      <c r="H432" s="3">
        <v>69403</v>
      </c>
      <c r="I432">
        <v>172</v>
      </c>
      <c r="J432" s="3">
        <v>0.97</v>
      </c>
      <c r="K432">
        <v>6.29</v>
      </c>
      <c r="L432">
        <v>1.2</v>
      </c>
      <c r="M432">
        <v>1</v>
      </c>
      <c r="N432">
        <v>765</v>
      </c>
      <c r="O432" s="3">
        <f t="shared" si="12"/>
        <v>43986735</v>
      </c>
      <c r="P432" s="3">
        <f t="shared" si="13"/>
        <v>43917332</v>
      </c>
    </row>
    <row r="433" spans="1:16">
      <c r="A433">
        <v>2024</v>
      </c>
      <c r="B433" t="s">
        <v>37</v>
      </c>
      <c r="C433" t="s">
        <v>17</v>
      </c>
      <c r="D433" t="s">
        <v>30</v>
      </c>
      <c r="E433" t="s">
        <v>23</v>
      </c>
      <c r="F433" t="s">
        <v>24</v>
      </c>
      <c r="G433" s="3">
        <v>86628</v>
      </c>
      <c r="H433" s="3">
        <v>53681</v>
      </c>
      <c r="I433">
        <v>320</v>
      </c>
      <c r="J433" s="3">
        <v>0.97</v>
      </c>
      <c r="K433">
        <v>6.29</v>
      </c>
      <c r="L433">
        <v>1.2</v>
      </c>
      <c r="M433">
        <v>3</v>
      </c>
      <c r="N433">
        <v>638</v>
      </c>
      <c r="O433" s="3">
        <f t="shared" si="12"/>
        <v>55268664</v>
      </c>
      <c r="P433" s="3">
        <f t="shared" si="13"/>
        <v>55214983</v>
      </c>
    </row>
    <row r="434" spans="1:16">
      <c r="A434">
        <v>2024</v>
      </c>
      <c r="B434" t="s">
        <v>47</v>
      </c>
      <c r="C434" t="s">
        <v>26</v>
      </c>
      <c r="D434" t="s">
        <v>32</v>
      </c>
      <c r="E434" t="s">
        <v>19</v>
      </c>
      <c r="F434" t="s">
        <v>24</v>
      </c>
      <c r="G434" s="3">
        <v>96360</v>
      </c>
      <c r="H434" s="3">
        <v>403699</v>
      </c>
      <c r="I434">
        <v>139</v>
      </c>
      <c r="J434" s="3">
        <v>0.97</v>
      </c>
      <c r="K434">
        <v>6.29</v>
      </c>
      <c r="L434">
        <v>1.2</v>
      </c>
      <c r="M434">
        <v>6</v>
      </c>
      <c r="N434">
        <v>313</v>
      </c>
      <c r="O434" s="3">
        <f t="shared" si="12"/>
        <v>30160680</v>
      </c>
      <c r="P434" s="3">
        <f t="shared" si="13"/>
        <v>29756981</v>
      </c>
    </row>
    <row r="435" spans="1:16">
      <c r="A435">
        <v>2017</v>
      </c>
      <c r="B435" t="s">
        <v>16</v>
      </c>
      <c r="C435" t="s">
        <v>26</v>
      </c>
      <c r="D435" t="s">
        <v>39</v>
      </c>
      <c r="E435" t="s">
        <v>23</v>
      </c>
      <c r="F435" t="s">
        <v>20</v>
      </c>
      <c r="G435" s="3">
        <v>39603</v>
      </c>
      <c r="H435" s="3">
        <v>431028</v>
      </c>
      <c r="I435">
        <v>255</v>
      </c>
      <c r="J435" s="3">
        <v>0.97</v>
      </c>
      <c r="K435">
        <v>6.29</v>
      </c>
      <c r="L435">
        <v>1.2</v>
      </c>
      <c r="M435">
        <v>2</v>
      </c>
      <c r="N435">
        <v>778</v>
      </c>
      <c r="O435" s="3">
        <f t="shared" si="12"/>
        <v>30811134</v>
      </c>
      <c r="P435" s="3">
        <f t="shared" si="13"/>
        <v>30380106</v>
      </c>
    </row>
    <row r="436" spans="1:16">
      <c r="A436">
        <v>2024</v>
      </c>
      <c r="B436" t="s">
        <v>37</v>
      </c>
      <c r="C436" t="s">
        <v>51</v>
      </c>
      <c r="D436" t="s">
        <v>36</v>
      </c>
      <c r="E436" t="s">
        <v>19</v>
      </c>
      <c r="F436" t="s">
        <v>28</v>
      </c>
      <c r="G436" s="3">
        <v>47632</v>
      </c>
      <c r="H436" s="3">
        <v>405266</v>
      </c>
      <c r="I436">
        <v>306</v>
      </c>
      <c r="J436" s="3">
        <v>0.97</v>
      </c>
      <c r="K436">
        <v>6.29</v>
      </c>
      <c r="L436">
        <v>1.2</v>
      </c>
      <c r="M436">
        <v>10</v>
      </c>
      <c r="N436">
        <v>947</v>
      </c>
      <c r="O436" s="3">
        <f t="shared" si="12"/>
        <v>45107504</v>
      </c>
      <c r="P436" s="3">
        <f t="shared" si="13"/>
        <v>44702238</v>
      </c>
    </row>
    <row r="437" spans="1:16">
      <c r="A437">
        <v>2015</v>
      </c>
      <c r="B437" t="s">
        <v>47</v>
      </c>
      <c r="C437" t="s">
        <v>17</v>
      </c>
      <c r="D437" t="s">
        <v>36</v>
      </c>
      <c r="E437" t="s">
        <v>19</v>
      </c>
      <c r="F437" t="s">
        <v>33</v>
      </c>
      <c r="G437" s="3">
        <v>65607</v>
      </c>
      <c r="H437" s="3">
        <v>165260</v>
      </c>
      <c r="I437">
        <v>181</v>
      </c>
      <c r="J437" s="3">
        <v>0.97</v>
      </c>
      <c r="K437">
        <v>6.29</v>
      </c>
      <c r="L437">
        <v>1.2</v>
      </c>
      <c r="M437">
        <v>1</v>
      </c>
      <c r="N437">
        <v>588</v>
      </c>
      <c r="O437" s="3">
        <f t="shared" si="12"/>
        <v>38576916</v>
      </c>
      <c r="P437" s="3">
        <f t="shared" si="13"/>
        <v>38411656</v>
      </c>
    </row>
    <row r="438" spans="1:16">
      <c r="A438">
        <v>2022</v>
      </c>
      <c r="B438" t="s">
        <v>16</v>
      </c>
      <c r="C438" t="s">
        <v>38</v>
      </c>
      <c r="D438" t="s">
        <v>52</v>
      </c>
      <c r="E438" t="s">
        <v>19</v>
      </c>
      <c r="F438" t="s">
        <v>24</v>
      </c>
      <c r="G438" s="3">
        <v>100756</v>
      </c>
      <c r="H438" s="3">
        <v>223364</v>
      </c>
      <c r="I438">
        <v>73</v>
      </c>
      <c r="J438" s="3">
        <v>0.97</v>
      </c>
      <c r="K438">
        <v>6.29</v>
      </c>
      <c r="L438">
        <v>1.2</v>
      </c>
      <c r="M438">
        <v>1</v>
      </c>
      <c r="N438">
        <v>517</v>
      </c>
      <c r="O438" s="3">
        <f t="shared" si="12"/>
        <v>52090852</v>
      </c>
      <c r="P438" s="3">
        <f t="shared" si="13"/>
        <v>51867488</v>
      </c>
    </row>
    <row r="439" spans="1:16">
      <c r="A439">
        <v>2019</v>
      </c>
      <c r="B439" t="s">
        <v>47</v>
      </c>
      <c r="C439" t="s">
        <v>40</v>
      </c>
      <c r="D439" t="s">
        <v>52</v>
      </c>
      <c r="E439" t="s">
        <v>19</v>
      </c>
      <c r="F439" t="s">
        <v>33</v>
      </c>
      <c r="G439" s="3">
        <v>81994</v>
      </c>
      <c r="H439" s="3">
        <v>155386</v>
      </c>
      <c r="I439">
        <v>40</v>
      </c>
      <c r="J439" s="3">
        <v>0.97</v>
      </c>
      <c r="K439">
        <v>6.29</v>
      </c>
      <c r="L439">
        <v>1.2</v>
      </c>
      <c r="M439">
        <v>5</v>
      </c>
      <c r="N439">
        <v>192</v>
      </c>
      <c r="O439" s="3">
        <f t="shared" si="12"/>
        <v>15742848</v>
      </c>
      <c r="P439" s="3">
        <f t="shared" si="13"/>
        <v>15587462</v>
      </c>
    </row>
    <row r="440" spans="1:16">
      <c r="A440">
        <v>2018</v>
      </c>
      <c r="B440" t="s">
        <v>21</v>
      </c>
      <c r="C440" t="s">
        <v>26</v>
      </c>
      <c r="D440" t="s">
        <v>18</v>
      </c>
      <c r="E440" t="s">
        <v>19</v>
      </c>
      <c r="F440" t="s">
        <v>33</v>
      </c>
      <c r="G440" s="3">
        <v>98382</v>
      </c>
      <c r="H440" s="3">
        <v>283378</v>
      </c>
      <c r="I440">
        <v>56</v>
      </c>
      <c r="J440" s="3">
        <v>0.97</v>
      </c>
      <c r="K440">
        <v>6.29</v>
      </c>
      <c r="L440">
        <v>1.2</v>
      </c>
      <c r="M440">
        <v>4</v>
      </c>
      <c r="N440">
        <v>400</v>
      </c>
      <c r="O440" s="3">
        <f t="shared" si="12"/>
        <v>39352800</v>
      </c>
      <c r="P440" s="3">
        <f t="shared" si="13"/>
        <v>39069422</v>
      </c>
    </row>
    <row r="441" spans="1:16">
      <c r="A441">
        <v>2022</v>
      </c>
      <c r="B441" t="s">
        <v>35</v>
      </c>
      <c r="C441" t="s">
        <v>51</v>
      </c>
      <c r="D441" t="s">
        <v>22</v>
      </c>
      <c r="E441" t="s">
        <v>23</v>
      </c>
      <c r="F441" t="s">
        <v>28</v>
      </c>
      <c r="G441" s="3">
        <v>105354</v>
      </c>
      <c r="H441" s="3">
        <v>448845</v>
      </c>
      <c r="I441">
        <v>139</v>
      </c>
      <c r="J441" s="3">
        <v>0.97</v>
      </c>
      <c r="K441">
        <v>6.29</v>
      </c>
      <c r="L441">
        <v>1.2</v>
      </c>
      <c r="M441">
        <v>1</v>
      </c>
      <c r="N441">
        <v>469</v>
      </c>
      <c r="O441" s="3">
        <f t="shared" si="12"/>
        <v>49411026</v>
      </c>
      <c r="P441" s="3">
        <f t="shared" si="13"/>
        <v>48962181</v>
      </c>
    </row>
    <row r="442" spans="1:16">
      <c r="A442">
        <v>2021</v>
      </c>
      <c r="B442" t="s">
        <v>25</v>
      </c>
      <c r="C442" t="s">
        <v>40</v>
      </c>
      <c r="D442" t="s">
        <v>32</v>
      </c>
      <c r="E442" t="s">
        <v>19</v>
      </c>
      <c r="F442" t="s">
        <v>24</v>
      </c>
      <c r="G442" s="3">
        <v>91344</v>
      </c>
      <c r="H442" s="3">
        <v>143246</v>
      </c>
      <c r="I442">
        <v>361</v>
      </c>
      <c r="J442" s="3">
        <v>0.97</v>
      </c>
      <c r="K442">
        <v>6.29</v>
      </c>
      <c r="L442">
        <v>1.2</v>
      </c>
      <c r="M442">
        <v>4</v>
      </c>
      <c r="N442">
        <v>884</v>
      </c>
      <c r="O442" s="3">
        <f t="shared" si="12"/>
        <v>80748096</v>
      </c>
      <c r="P442" s="3">
        <f t="shared" si="13"/>
        <v>80604850</v>
      </c>
    </row>
    <row r="443" spans="1:16">
      <c r="A443">
        <v>2016</v>
      </c>
      <c r="B443" t="s">
        <v>29</v>
      </c>
      <c r="C443" t="s">
        <v>17</v>
      </c>
      <c r="D443" t="s">
        <v>18</v>
      </c>
      <c r="E443" t="s">
        <v>19</v>
      </c>
      <c r="F443" t="s">
        <v>33</v>
      </c>
      <c r="G443" s="3">
        <v>88775</v>
      </c>
      <c r="H443" s="3">
        <v>145864</v>
      </c>
      <c r="I443">
        <v>342</v>
      </c>
      <c r="J443" s="3">
        <v>0.97</v>
      </c>
      <c r="K443">
        <v>6.29</v>
      </c>
      <c r="L443">
        <v>1.2</v>
      </c>
      <c r="M443">
        <v>3</v>
      </c>
      <c r="N443">
        <v>910</v>
      </c>
      <c r="O443" s="3">
        <f t="shared" si="12"/>
        <v>80785250</v>
      </c>
      <c r="P443" s="3">
        <f t="shared" si="13"/>
        <v>80639386</v>
      </c>
    </row>
    <row r="444" spans="1:16">
      <c r="A444">
        <v>2015</v>
      </c>
      <c r="B444" t="s">
        <v>43</v>
      </c>
      <c r="C444" t="s">
        <v>17</v>
      </c>
      <c r="D444" t="s">
        <v>18</v>
      </c>
      <c r="E444" t="s">
        <v>19</v>
      </c>
      <c r="F444" t="s">
        <v>24</v>
      </c>
      <c r="G444" s="3">
        <v>42349</v>
      </c>
      <c r="H444" s="3">
        <v>258886</v>
      </c>
      <c r="I444">
        <v>119</v>
      </c>
      <c r="J444" s="3">
        <v>0.97</v>
      </c>
      <c r="K444">
        <v>6.29</v>
      </c>
      <c r="L444">
        <v>1.2</v>
      </c>
      <c r="M444">
        <v>2</v>
      </c>
      <c r="N444">
        <v>372</v>
      </c>
      <c r="O444" s="3">
        <f t="shared" si="12"/>
        <v>15753828</v>
      </c>
      <c r="P444" s="3">
        <f t="shared" si="13"/>
        <v>15494942</v>
      </c>
    </row>
    <row r="445" spans="1:16">
      <c r="A445">
        <v>2018</v>
      </c>
      <c r="B445" t="s">
        <v>37</v>
      </c>
      <c r="C445" t="s">
        <v>31</v>
      </c>
      <c r="D445" t="s">
        <v>27</v>
      </c>
      <c r="E445" t="s">
        <v>23</v>
      </c>
      <c r="F445" t="s">
        <v>20</v>
      </c>
      <c r="G445" s="3">
        <v>106154</v>
      </c>
      <c r="H445" s="3">
        <v>320561</v>
      </c>
      <c r="I445">
        <v>78</v>
      </c>
      <c r="J445" s="3">
        <v>0.97</v>
      </c>
      <c r="K445">
        <v>6.29</v>
      </c>
      <c r="L445">
        <v>1.2</v>
      </c>
      <c r="M445">
        <v>9</v>
      </c>
      <c r="N445">
        <v>305</v>
      </c>
      <c r="O445" s="3">
        <f t="shared" si="12"/>
        <v>32376970</v>
      </c>
      <c r="P445" s="3">
        <f t="shared" si="13"/>
        <v>32056409</v>
      </c>
    </row>
    <row r="446" spans="1:16">
      <c r="A446">
        <v>2022</v>
      </c>
      <c r="B446" t="s">
        <v>37</v>
      </c>
      <c r="C446" t="s">
        <v>51</v>
      </c>
      <c r="D446" t="s">
        <v>27</v>
      </c>
      <c r="E446" t="s">
        <v>23</v>
      </c>
      <c r="F446" t="s">
        <v>20</v>
      </c>
      <c r="G446" s="3">
        <v>62464</v>
      </c>
      <c r="H446" s="3">
        <v>431032</v>
      </c>
      <c r="I446">
        <v>67</v>
      </c>
      <c r="J446" s="3">
        <v>0.97</v>
      </c>
      <c r="K446">
        <v>6.29</v>
      </c>
      <c r="L446">
        <v>1.2</v>
      </c>
      <c r="M446">
        <v>1</v>
      </c>
      <c r="N446">
        <v>636</v>
      </c>
      <c r="O446" s="3">
        <f t="shared" si="12"/>
        <v>39727104</v>
      </c>
      <c r="P446" s="3">
        <f t="shared" si="13"/>
        <v>39296072</v>
      </c>
    </row>
    <row r="447" spans="1:16">
      <c r="A447">
        <v>2016</v>
      </c>
      <c r="B447" t="s">
        <v>29</v>
      </c>
      <c r="C447" t="s">
        <v>26</v>
      </c>
      <c r="D447" t="s">
        <v>18</v>
      </c>
      <c r="E447" t="s">
        <v>19</v>
      </c>
      <c r="F447" t="s">
        <v>33</v>
      </c>
      <c r="G447" s="3">
        <v>77624</v>
      </c>
      <c r="H447" s="3">
        <v>215837</v>
      </c>
      <c r="I447">
        <v>115</v>
      </c>
      <c r="J447" s="3">
        <v>0.97</v>
      </c>
      <c r="K447">
        <v>6.29</v>
      </c>
      <c r="L447">
        <v>1.2</v>
      </c>
      <c r="M447">
        <v>7</v>
      </c>
      <c r="N447">
        <v>433</v>
      </c>
      <c r="O447" s="3">
        <f t="shared" si="12"/>
        <v>33611192</v>
      </c>
      <c r="P447" s="3">
        <f t="shared" si="13"/>
        <v>33395355</v>
      </c>
    </row>
    <row r="448" spans="1:16">
      <c r="A448">
        <v>2017</v>
      </c>
      <c r="B448" t="s">
        <v>25</v>
      </c>
      <c r="C448" t="s">
        <v>38</v>
      </c>
      <c r="D448" t="s">
        <v>42</v>
      </c>
      <c r="E448" t="s">
        <v>19</v>
      </c>
      <c r="F448" t="s">
        <v>24</v>
      </c>
      <c r="G448" s="3">
        <v>72344</v>
      </c>
      <c r="H448" s="3">
        <v>386643</v>
      </c>
      <c r="I448">
        <v>309</v>
      </c>
      <c r="J448" s="3">
        <v>0.97</v>
      </c>
      <c r="K448">
        <v>6.29</v>
      </c>
      <c r="L448">
        <v>1.2</v>
      </c>
      <c r="M448">
        <v>4</v>
      </c>
      <c r="N448">
        <v>931</v>
      </c>
      <c r="O448" s="3">
        <f t="shared" si="12"/>
        <v>67352264</v>
      </c>
      <c r="P448" s="3">
        <f t="shared" si="13"/>
        <v>66965621</v>
      </c>
    </row>
    <row r="449" spans="1:16">
      <c r="A449">
        <v>2015</v>
      </c>
      <c r="B449" t="s">
        <v>48</v>
      </c>
      <c r="C449" t="s">
        <v>17</v>
      </c>
      <c r="D449" t="s">
        <v>22</v>
      </c>
      <c r="E449" t="s">
        <v>23</v>
      </c>
      <c r="F449" t="s">
        <v>33</v>
      </c>
      <c r="G449" s="3">
        <v>118791</v>
      </c>
      <c r="H449" s="3">
        <v>443052</v>
      </c>
      <c r="I449">
        <v>339</v>
      </c>
      <c r="J449" s="3">
        <v>0.97</v>
      </c>
      <c r="K449">
        <v>6.29</v>
      </c>
      <c r="L449">
        <v>1.2</v>
      </c>
      <c r="M449">
        <v>5</v>
      </c>
      <c r="N449">
        <v>751</v>
      </c>
      <c r="O449" s="3">
        <f t="shared" si="12"/>
        <v>89212041</v>
      </c>
      <c r="P449" s="3">
        <f t="shared" si="13"/>
        <v>88768989</v>
      </c>
    </row>
    <row r="450" spans="1:16">
      <c r="A450">
        <v>2015</v>
      </c>
      <c r="B450" t="s">
        <v>50</v>
      </c>
      <c r="C450" t="s">
        <v>38</v>
      </c>
      <c r="D450" t="s">
        <v>32</v>
      </c>
      <c r="E450" t="s">
        <v>19</v>
      </c>
      <c r="F450" t="s">
        <v>24</v>
      </c>
      <c r="G450" s="3">
        <v>59299</v>
      </c>
      <c r="H450" s="3">
        <v>295160</v>
      </c>
      <c r="I450">
        <v>265</v>
      </c>
      <c r="J450" s="3">
        <v>0.97</v>
      </c>
      <c r="K450">
        <v>6.29</v>
      </c>
      <c r="L450">
        <v>1.2</v>
      </c>
      <c r="M450">
        <v>10</v>
      </c>
      <c r="N450">
        <v>904</v>
      </c>
      <c r="O450" s="3">
        <f t="shared" si="12"/>
        <v>53606296</v>
      </c>
      <c r="P450" s="3">
        <f t="shared" si="13"/>
        <v>53311136</v>
      </c>
    </row>
    <row r="451" spans="1:16">
      <c r="A451">
        <v>2017</v>
      </c>
      <c r="B451" t="s">
        <v>21</v>
      </c>
      <c r="C451" t="s">
        <v>17</v>
      </c>
      <c r="D451" t="s">
        <v>18</v>
      </c>
      <c r="E451" t="s">
        <v>19</v>
      </c>
      <c r="F451" t="s">
        <v>24</v>
      </c>
      <c r="G451" s="3">
        <v>82975</v>
      </c>
      <c r="H451" s="3">
        <v>237646</v>
      </c>
      <c r="I451">
        <v>321</v>
      </c>
      <c r="J451" s="3">
        <v>0.97</v>
      </c>
      <c r="K451">
        <v>6.29</v>
      </c>
      <c r="L451">
        <v>1.2</v>
      </c>
      <c r="M451">
        <v>5</v>
      </c>
      <c r="N451">
        <v>652</v>
      </c>
      <c r="O451" s="3">
        <f t="shared" ref="O451:O514" si="14">N451*G451</f>
        <v>54099700</v>
      </c>
      <c r="P451" s="3">
        <f t="shared" ref="P451:P514" si="15">O451-H451</f>
        <v>53862054</v>
      </c>
    </row>
    <row r="452" spans="1:16">
      <c r="A452">
        <v>2019</v>
      </c>
      <c r="B452" t="s">
        <v>21</v>
      </c>
      <c r="C452" t="s">
        <v>26</v>
      </c>
      <c r="D452" t="s">
        <v>36</v>
      </c>
      <c r="E452" t="s">
        <v>19</v>
      </c>
      <c r="F452" t="s">
        <v>28</v>
      </c>
      <c r="G452" s="3">
        <v>36462</v>
      </c>
      <c r="H452" s="3">
        <v>309278</v>
      </c>
      <c r="I452">
        <v>180</v>
      </c>
      <c r="J452" s="3">
        <v>0.97</v>
      </c>
      <c r="K452">
        <v>6.29</v>
      </c>
      <c r="L452">
        <v>1.2</v>
      </c>
      <c r="M452">
        <v>1</v>
      </c>
      <c r="N452">
        <v>573</v>
      </c>
      <c r="O452" s="3">
        <f t="shared" si="14"/>
        <v>20892726</v>
      </c>
      <c r="P452" s="3">
        <f t="shared" si="15"/>
        <v>20583448</v>
      </c>
    </row>
    <row r="453" spans="1:16">
      <c r="A453">
        <v>2017</v>
      </c>
      <c r="B453" t="s">
        <v>29</v>
      </c>
      <c r="C453" t="s">
        <v>40</v>
      </c>
      <c r="D453" t="s">
        <v>22</v>
      </c>
      <c r="E453" t="s">
        <v>23</v>
      </c>
      <c r="F453" t="s">
        <v>28</v>
      </c>
      <c r="G453" s="3">
        <v>116441</v>
      </c>
      <c r="H453" s="3">
        <v>339819</v>
      </c>
      <c r="I453">
        <v>392</v>
      </c>
      <c r="J453" s="3">
        <v>0.97</v>
      </c>
      <c r="K453">
        <v>6.29</v>
      </c>
      <c r="L453">
        <v>1.2</v>
      </c>
      <c r="M453">
        <v>6</v>
      </c>
      <c r="N453">
        <v>1027</v>
      </c>
      <c r="O453" s="3">
        <f t="shared" si="14"/>
        <v>119584907</v>
      </c>
      <c r="P453" s="3">
        <f t="shared" si="15"/>
        <v>119245088</v>
      </c>
    </row>
    <row r="454" spans="1:16">
      <c r="A454">
        <v>2015</v>
      </c>
      <c r="B454" t="s">
        <v>53</v>
      </c>
      <c r="C454" t="s">
        <v>34</v>
      </c>
      <c r="D454" t="s">
        <v>27</v>
      </c>
      <c r="E454" t="s">
        <v>23</v>
      </c>
      <c r="F454" t="s">
        <v>28</v>
      </c>
      <c r="G454" s="3">
        <v>116788</v>
      </c>
      <c r="H454" s="3">
        <v>306681</v>
      </c>
      <c r="I454">
        <v>171</v>
      </c>
      <c r="J454" s="3">
        <v>0.97</v>
      </c>
      <c r="K454">
        <v>6.29</v>
      </c>
      <c r="L454">
        <v>1.2</v>
      </c>
      <c r="M454">
        <v>9</v>
      </c>
      <c r="N454">
        <v>575</v>
      </c>
      <c r="O454" s="3">
        <f t="shared" si="14"/>
        <v>67153100</v>
      </c>
      <c r="P454" s="3">
        <f t="shared" si="15"/>
        <v>66846419</v>
      </c>
    </row>
    <row r="455" spans="1:16">
      <c r="A455">
        <v>2015</v>
      </c>
      <c r="B455" t="s">
        <v>47</v>
      </c>
      <c r="C455" t="s">
        <v>40</v>
      </c>
      <c r="D455" t="s">
        <v>36</v>
      </c>
      <c r="E455" t="s">
        <v>19</v>
      </c>
      <c r="F455" t="s">
        <v>33</v>
      </c>
      <c r="G455" s="3">
        <v>75581</v>
      </c>
      <c r="H455" s="3">
        <v>221635</v>
      </c>
      <c r="I455">
        <v>295</v>
      </c>
      <c r="J455" s="3">
        <v>0.97</v>
      </c>
      <c r="K455">
        <v>6.29</v>
      </c>
      <c r="L455">
        <v>1.2</v>
      </c>
      <c r="M455">
        <v>2</v>
      </c>
      <c r="N455">
        <v>848</v>
      </c>
      <c r="O455" s="3">
        <f t="shared" si="14"/>
        <v>64092688</v>
      </c>
      <c r="P455" s="3">
        <f t="shared" si="15"/>
        <v>63871053</v>
      </c>
    </row>
    <row r="456" spans="1:16">
      <c r="A456">
        <v>2022</v>
      </c>
      <c r="B456" t="s">
        <v>50</v>
      </c>
      <c r="C456" t="s">
        <v>17</v>
      </c>
      <c r="D456" t="s">
        <v>27</v>
      </c>
      <c r="E456" t="s">
        <v>23</v>
      </c>
      <c r="F456" t="s">
        <v>28</v>
      </c>
      <c r="G456" s="3">
        <v>106289</v>
      </c>
      <c r="H456" s="3">
        <v>61332</v>
      </c>
      <c r="I456">
        <v>80</v>
      </c>
      <c r="J456" s="3">
        <v>0.97</v>
      </c>
      <c r="K456">
        <v>6.29</v>
      </c>
      <c r="L456">
        <v>1.2</v>
      </c>
      <c r="M456">
        <v>7</v>
      </c>
      <c r="N456">
        <v>432</v>
      </c>
      <c r="O456" s="3">
        <f t="shared" si="14"/>
        <v>45916848</v>
      </c>
      <c r="P456" s="3">
        <f t="shared" si="15"/>
        <v>45855516</v>
      </c>
    </row>
    <row r="457" spans="1:16">
      <c r="A457">
        <v>2024</v>
      </c>
      <c r="B457" t="s">
        <v>35</v>
      </c>
      <c r="C457" t="s">
        <v>44</v>
      </c>
      <c r="D457" t="s">
        <v>27</v>
      </c>
      <c r="E457" t="s">
        <v>23</v>
      </c>
      <c r="F457" t="s">
        <v>28</v>
      </c>
      <c r="G457" s="3">
        <v>49175</v>
      </c>
      <c r="H457" s="3">
        <v>304817</v>
      </c>
      <c r="I457">
        <v>264</v>
      </c>
      <c r="J457" s="3">
        <v>0.97</v>
      </c>
      <c r="K457">
        <v>6.29</v>
      </c>
      <c r="L457">
        <v>1.2</v>
      </c>
      <c r="M457">
        <v>6</v>
      </c>
      <c r="N457">
        <v>918</v>
      </c>
      <c r="O457" s="3">
        <f t="shared" si="14"/>
        <v>45142650</v>
      </c>
      <c r="P457" s="3">
        <f t="shared" si="15"/>
        <v>44837833</v>
      </c>
    </row>
    <row r="458" spans="1:16">
      <c r="A458">
        <v>2016</v>
      </c>
      <c r="B458" t="s">
        <v>35</v>
      </c>
      <c r="C458" t="s">
        <v>34</v>
      </c>
      <c r="D458" t="s">
        <v>22</v>
      </c>
      <c r="E458" t="s">
        <v>23</v>
      </c>
      <c r="F458" t="s">
        <v>20</v>
      </c>
      <c r="G458" s="3">
        <v>41191</v>
      </c>
      <c r="H458" s="3">
        <v>331321</v>
      </c>
      <c r="I458">
        <v>383</v>
      </c>
      <c r="J458" s="3">
        <v>0.97</v>
      </c>
      <c r="K458">
        <v>6.29</v>
      </c>
      <c r="L458">
        <v>1.2</v>
      </c>
      <c r="M458">
        <v>5</v>
      </c>
      <c r="N458">
        <v>1197</v>
      </c>
      <c r="O458" s="3">
        <f t="shared" si="14"/>
        <v>49305627</v>
      </c>
      <c r="P458" s="3">
        <f t="shared" si="15"/>
        <v>48974306</v>
      </c>
    </row>
    <row r="459" spans="1:16">
      <c r="A459">
        <v>2017</v>
      </c>
      <c r="B459" t="s">
        <v>29</v>
      </c>
      <c r="C459" t="s">
        <v>34</v>
      </c>
      <c r="D459" t="s">
        <v>27</v>
      </c>
      <c r="E459" t="s">
        <v>23</v>
      </c>
      <c r="F459" t="s">
        <v>24</v>
      </c>
      <c r="G459" s="3">
        <v>118434</v>
      </c>
      <c r="H459" s="3">
        <v>442704</v>
      </c>
      <c r="I459">
        <v>64</v>
      </c>
      <c r="J459" s="3">
        <v>0.97</v>
      </c>
      <c r="K459">
        <v>6.29</v>
      </c>
      <c r="L459">
        <v>1.2</v>
      </c>
      <c r="M459">
        <v>4</v>
      </c>
      <c r="N459">
        <v>216</v>
      </c>
      <c r="O459" s="3">
        <f t="shared" si="14"/>
        <v>25581744</v>
      </c>
      <c r="P459" s="3">
        <f t="shared" si="15"/>
        <v>25139040</v>
      </c>
    </row>
    <row r="460" spans="1:16">
      <c r="A460">
        <v>2016</v>
      </c>
      <c r="B460" t="s">
        <v>21</v>
      </c>
      <c r="C460" t="s">
        <v>38</v>
      </c>
      <c r="D460" t="s">
        <v>30</v>
      </c>
      <c r="E460" t="s">
        <v>23</v>
      </c>
      <c r="F460" t="s">
        <v>24</v>
      </c>
      <c r="G460" s="3">
        <v>119518</v>
      </c>
      <c r="H460" s="3">
        <v>270326</v>
      </c>
      <c r="I460">
        <v>332</v>
      </c>
      <c r="J460" s="3">
        <v>0.97</v>
      </c>
      <c r="K460">
        <v>6.29</v>
      </c>
      <c r="L460">
        <v>1.2</v>
      </c>
      <c r="M460">
        <v>4</v>
      </c>
      <c r="N460">
        <v>847</v>
      </c>
      <c r="O460" s="3">
        <f t="shared" si="14"/>
        <v>101231746</v>
      </c>
      <c r="P460" s="3">
        <f t="shared" si="15"/>
        <v>100961420</v>
      </c>
    </row>
    <row r="461" spans="1:16">
      <c r="A461">
        <v>2017</v>
      </c>
      <c r="B461" t="s">
        <v>35</v>
      </c>
      <c r="C461" t="s">
        <v>51</v>
      </c>
      <c r="D461" t="s">
        <v>39</v>
      </c>
      <c r="E461" t="s">
        <v>23</v>
      </c>
      <c r="F461" t="s">
        <v>28</v>
      </c>
      <c r="G461" s="3">
        <v>115158</v>
      </c>
      <c r="H461" s="3">
        <v>249519</v>
      </c>
      <c r="I461">
        <v>12</v>
      </c>
      <c r="J461" s="3">
        <v>0.97</v>
      </c>
      <c r="K461">
        <v>6.29</v>
      </c>
      <c r="L461">
        <v>1.2</v>
      </c>
      <c r="M461">
        <v>6</v>
      </c>
      <c r="N461">
        <v>72</v>
      </c>
      <c r="O461" s="3">
        <f t="shared" si="14"/>
        <v>8291376</v>
      </c>
      <c r="P461" s="3">
        <f t="shared" si="15"/>
        <v>8041857</v>
      </c>
    </row>
    <row r="462" spans="1:16">
      <c r="A462">
        <v>2021</v>
      </c>
      <c r="B462" t="s">
        <v>48</v>
      </c>
      <c r="C462" t="s">
        <v>38</v>
      </c>
      <c r="D462" t="s">
        <v>30</v>
      </c>
      <c r="E462" t="s">
        <v>23</v>
      </c>
      <c r="F462" t="s">
        <v>24</v>
      </c>
      <c r="G462" s="3">
        <v>101537</v>
      </c>
      <c r="H462" s="3">
        <v>311849</v>
      </c>
      <c r="I462">
        <v>35</v>
      </c>
      <c r="J462" s="3">
        <v>0.97</v>
      </c>
      <c r="K462">
        <v>6.29</v>
      </c>
      <c r="L462">
        <v>1.2</v>
      </c>
      <c r="M462">
        <v>4</v>
      </c>
      <c r="N462">
        <v>416</v>
      </c>
      <c r="O462" s="3">
        <f t="shared" si="14"/>
        <v>42239392</v>
      </c>
      <c r="P462" s="3">
        <f t="shared" si="15"/>
        <v>41927543</v>
      </c>
    </row>
    <row r="463" spans="1:16">
      <c r="A463">
        <v>2015</v>
      </c>
      <c r="B463" t="s">
        <v>37</v>
      </c>
      <c r="C463" t="s">
        <v>38</v>
      </c>
      <c r="D463" t="s">
        <v>39</v>
      </c>
      <c r="E463" t="s">
        <v>23</v>
      </c>
      <c r="F463" t="s">
        <v>20</v>
      </c>
      <c r="G463" s="3">
        <v>82645</v>
      </c>
      <c r="H463" s="3">
        <v>369248</v>
      </c>
      <c r="I463">
        <v>322</v>
      </c>
      <c r="J463" s="3">
        <v>0.97</v>
      </c>
      <c r="K463">
        <v>6.29</v>
      </c>
      <c r="L463">
        <v>1.2</v>
      </c>
      <c r="M463">
        <v>5</v>
      </c>
      <c r="N463">
        <v>827</v>
      </c>
      <c r="O463" s="3">
        <f t="shared" si="14"/>
        <v>68347415</v>
      </c>
      <c r="P463" s="3">
        <f t="shared" si="15"/>
        <v>67978167</v>
      </c>
    </row>
    <row r="464" spans="1:16">
      <c r="A464">
        <v>2024</v>
      </c>
      <c r="B464" t="s">
        <v>49</v>
      </c>
      <c r="C464" t="s">
        <v>44</v>
      </c>
      <c r="D464" t="s">
        <v>52</v>
      </c>
      <c r="E464" t="s">
        <v>19</v>
      </c>
      <c r="F464" t="s">
        <v>20</v>
      </c>
      <c r="G464" s="3">
        <v>58283</v>
      </c>
      <c r="H464" s="3">
        <v>396479</v>
      </c>
      <c r="I464">
        <v>135</v>
      </c>
      <c r="J464" s="3">
        <v>0.97</v>
      </c>
      <c r="K464">
        <v>6.29</v>
      </c>
      <c r="L464">
        <v>1.2</v>
      </c>
      <c r="M464">
        <v>6</v>
      </c>
      <c r="N464">
        <v>355</v>
      </c>
      <c r="O464" s="3">
        <f t="shared" si="14"/>
        <v>20690465</v>
      </c>
      <c r="P464" s="3">
        <f t="shared" si="15"/>
        <v>20293986</v>
      </c>
    </row>
    <row r="465" spans="1:16">
      <c r="A465">
        <v>2022</v>
      </c>
      <c r="B465" t="s">
        <v>43</v>
      </c>
      <c r="C465" t="s">
        <v>40</v>
      </c>
      <c r="D465" t="s">
        <v>52</v>
      </c>
      <c r="E465" t="s">
        <v>19</v>
      </c>
      <c r="F465" t="s">
        <v>28</v>
      </c>
      <c r="G465" s="3">
        <v>94123</v>
      </c>
      <c r="H465" s="3">
        <v>427082</v>
      </c>
      <c r="I465">
        <v>62</v>
      </c>
      <c r="J465" s="3">
        <v>0.97</v>
      </c>
      <c r="K465">
        <v>6.29</v>
      </c>
      <c r="L465">
        <v>1.2</v>
      </c>
      <c r="M465">
        <v>5</v>
      </c>
      <c r="N465">
        <v>254</v>
      </c>
      <c r="O465" s="3">
        <f t="shared" si="14"/>
        <v>23907242</v>
      </c>
      <c r="P465" s="3">
        <f t="shared" si="15"/>
        <v>23480160</v>
      </c>
    </row>
    <row r="466" spans="1:16">
      <c r="A466">
        <v>2024</v>
      </c>
      <c r="B466" t="s">
        <v>29</v>
      </c>
      <c r="C466" t="s">
        <v>40</v>
      </c>
      <c r="D466" t="s">
        <v>27</v>
      </c>
      <c r="E466" t="s">
        <v>23</v>
      </c>
      <c r="F466" t="s">
        <v>20</v>
      </c>
      <c r="G466" s="3">
        <v>65024</v>
      </c>
      <c r="H466" s="3">
        <v>130730</v>
      </c>
      <c r="I466">
        <v>207</v>
      </c>
      <c r="J466" s="3">
        <v>0.97</v>
      </c>
      <c r="K466">
        <v>6.29</v>
      </c>
      <c r="L466">
        <v>1.2</v>
      </c>
      <c r="M466">
        <v>7</v>
      </c>
      <c r="N466">
        <v>626</v>
      </c>
      <c r="O466" s="3">
        <f t="shared" si="14"/>
        <v>40705024</v>
      </c>
      <c r="P466" s="3">
        <f t="shared" si="15"/>
        <v>40574294</v>
      </c>
    </row>
    <row r="467" spans="1:16">
      <c r="A467">
        <v>2024</v>
      </c>
      <c r="B467" t="s">
        <v>53</v>
      </c>
      <c r="C467" t="s">
        <v>46</v>
      </c>
      <c r="D467" t="s">
        <v>32</v>
      </c>
      <c r="E467" t="s">
        <v>19</v>
      </c>
      <c r="F467" t="s">
        <v>24</v>
      </c>
      <c r="G467" s="3">
        <v>84630</v>
      </c>
      <c r="H467" s="3">
        <v>448167</v>
      </c>
      <c r="I467">
        <v>308</v>
      </c>
      <c r="J467" s="3">
        <v>0.97</v>
      </c>
      <c r="K467">
        <v>6.29</v>
      </c>
      <c r="L467">
        <v>1.2</v>
      </c>
      <c r="M467">
        <v>9</v>
      </c>
      <c r="N467">
        <v>862</v>
      </c>
      <c r="O467" s="3">
        <f t="shared" si="14"/>
        <v>72951060</v>
      </c>
      <c r="P467" s="3">
        <f t="shared" si="15"/>
        <v>72502893</v>
      </c>
    </row>
    <row r="468" spans="1:16">
      <c r="A468">
        <v>2024</v>
      </c>
      <c r="B468" t="s">
        <v>47</v>
      </c>
      <c r="C468" t="s">
        <v>17</v>
      </c>
      <c r="D468" t="s">
        <v>32</v>
      </c>
      <c r="E468" t="s">
        <v>19</v>
      </c>
      <c r="F468" t="s">
        <v>33</v>
      </c>
      <c r="G468" s="3">
        <v>65734</v>
      </c>
      <c r="H468" s="3">
        <v>287474</v>
      </c>
      <c r="I468">
        <v>197</v>
      </c>
      <c r="J468" s="3">
        <v>0.97</v>
      </c>
      <c r="K468">
        <v>6.29</v>
      </c>
      <c r="L468">
        <v>1.2</v>
      </c>
      <c r="M468">
        <v>10</v>
      </c>
      <c r="N468">
        <v>409</v>
      </c>
      <c r="O468" s="3">
        <f t="shared" si="14"/>
        <v>26885206</v>
      </c>
      <c r="P468" s="3">
        <f t="shared" si="15"/>
        <v>26597732</v>
      </c>
    </row>
    <row r="469" spans="1:16">
      <c r="A469">
        <v>2016</v>
      </c>
      <c r="B469" t="s">
        <v>43</v>
      </c>
      <c r="C469" t="s">
        <v>44</v>
      </c>
      <c r="D469" t="s">
        <v>39</v>
      </c>
      <c r="E469" t="s">
        <v>23</v>
      </c>
      <c r="F469" t="s">
        <v>24</v>
      </c>
      <c r="G469" s="3">
        <v>35515</v>
      </c>
      <c r="H469" s="3">
        <v>340477</v>
      </c>
      <c r="I469">
        <v>195</v>
      </c>
      <c r="J469" s="3">
        <v>0.97</v>
      </c>
      <c r="K469">
        <v>6.29</v>
      </c>
      <c r="L469">
        <v>1.2</v>
      </c>
      <c r="M469">
        <v>7</v>
      </c>
      <c r="N469">
        <v>561</v>
      </c>
      <c r="O469" s="3">
        <f t="shared" si="14"/>
        <v>19923915</v>
      </c>
      <c r="P469" s="3">
        <f t="shared" si="15"/>
        <v>19583438</v>
      </c>
    </row>
    <row r="470" spans="1:16">
      <c r="A470">
        <v>2017</v>
      </c>
      <c r="B470" t="s">
        <v>47</v>
      </c>
      <c r="C470" t="s">
        <v>46</v>
      </c>
      <c r="D470" t="s">
        <v>36</v>
      </c>
      <c r="E470" t="s">
        <v>19</v>
      </c>
      <c r="F470" t="s">
        <v>33</v>
      </c>
      <c r="G470" s="3">
        <v>101727</v>
      </c>
      <c r="H470" s="3">
        <v>333817</v>
      </c>
      <c r="I470">
        <v>314</v>
      </c>
      <c r="J470" s="3">
        <v>0.97</v>
      </c>
      <c r="K470">
        <v>6.29</v>
      </c>
      <c r="L470">
        <v>1.2</v>
      </c>
      <c r="M470">
        <v>7</v>
      </c>
      <c r="N470">
        <v>889</v>
      </c>
      <c r="O470" s="3">
        <f t="shared" si="14"/>
        <v>90435303</v>
      </c>
      <c r="P470" s="3">
        <f t="shared" si="15"/>
        <v>90101486</v>
      </c>
    </row>
    <row r="471" spans="1:16">
      <c r="A471">
        <v>2023</v>
      </c>
      <c r="B471" t="s">
        <v>16</v>
      </c>
      <c r="C471" t="s">
        <v>26</v>
      </c>
      <c r="D471" t="s">
        <v>22</v>
      </c>
      <c r="E471" t="s">
        <v>23</v>
      </c>
      <c r="F471" t="s">
        <v>28</v>
      </c>
      <c r="G471" s="3">
        <v>81216</v>
      </c>
      <c r="H471" s="3">
        <v>426565</v>
      </c>
      <c r="I471">
        <v>307</v>
      </c>
      <c r="J471" s="3">
        <v>0.97</v>
      </c>
      <c r="K471">
        <v>6.29</v>
      </c>
      <c r="L471">
        <v>1.2</v>
      </c>
      <c r="M471">
        <v>4</v>
      </c>
      <c r="N471">
        <v>784</v>
      </c>
      <c r="O471" s="3">
        <f t="shared" si="14"/>
        <v>63673344</v>
      </c>
      <c r="P471" s="3">
        <f t="shared" si="15"/>
        <v>63246779</v>
      </c>
    </row>
    <row r="472" spans="1:16">
      <c r="A472">
        <v>2021</v>
      </c>
      <c r="B472" t="s">
        <v>43</v>
      </c>
      <c r="C472" t="s">
        <v>17</v>
      </c>
      <c r="D472" t="s">
        <v>27</v>
      </c>
      <c r="E472" t="s">
        <v>23</v>
      </c>
      <c r="F472" t="s">
        <v>33</v>
      </c>
      <c r="G472" s="3">
        <v>106833</v>
      </c>
      <c r="H472" s="3">
        <v>90870</v>
      </c>
      <c r="I472">
        <v>213</v>
      </c>
      <c r="J472" s="3">
        <v>0.97</v>
      </c>
      <c r="K472">
        <v>6.29</v>
      </c>
      <c r="L472">
        <v>1.2</v>
      </c>
      <c r="M472">
        <v>1</v>
      </c>
      <c r="N472">
        <v>495</v>
      </c>
      <c r="O472" s="3">
        <f t="shared" si="14"/>
        <v>52882335</v>
      </c>
      <c r="P472" s="3">
        <f t="shared" si="15"/>
        <v>52791465</v>
      </c>
    </row>
    <row r="473" spans="1:16">
      <c r="A473">
        <v>2018</v>
      </c>
      <c r="B473" t="s">
        <v>49</v>
      </c>
      <c r="C473" t="s">
        <v>17</v>
      </c>
      <c r="D473" t="s">
        <v>22</v>
      </c>
      <c r="E473" t="s">
        <v>23</v>
      </c>
      <c r="F473" t="s">
        <v>20</v>
      </c>
      <c r="G473" s="3">
        <v>93755</v>
      </c>
      <c r="H473" s="3">
        <v>303017</v>
      </c>
      <c r="I473">
        <v>20</v>
      </c>
      <c r="J473" s="3">
        <v>0.97</v>
      </c>
      <c r="K473">
        <v>6.29</v>
      </c>
      <c r="L473">
        <v>1.2</v>
      </c>
      <c r="M473">
        <v>8</v>
      </c>
      <c r="N473">
        <v>417</v>
      </c>
      <c r="O473" s="3">
        <f t="shared" si="14"/>
        <v>39095835</v>
      </c>
      <c r="P473" s="3">
        <f t="shared" si="15"/>
        <v>38792818</v>
      </c>
    </row>
    <row r="474" spans="1:16">
      <c r="A474">
        <v>2024</v>
      </c>
      <c r="B474" t="s">
        <v>21</v>
      </c>
      <c r="C474" t="s">
        <v>31</v>
      </c>
      <c r="D474" t="s">
        <v>30</v>
      </c>
      <c r="E474" t="s">
        <v>23</v>
      </c>
      <c r="F474" t="s">
        <v>24</v>
      </c>
      <c r="G474" s="3">
        <v>62856</v>
      </c>
      <c r="H474" s="3">
        <v>177536</v>
      </c>
      <c r="I474">
        <v>368</v>
      </c>
      <c r="J474" s="3">
        <v>0.97</v>
      </c>
      <c r="K474">
        <v>6.29</v>
      </c>
      <c r="L474">
        <v>1.2</v>
      </c>
      <c r="M474">
        <v>4</v>
      </c>
      <c r="N474">
        <v>869</v>
      </c>
      <c r="O474" s="3">
        <f t="shared" si="14"/>
        <v>54621864</v>
      </c>
      <c r="P474" s="3">
        <f t="shared" si="15"/>
        <v>54444328</v>
      </c>
    </row>
    <row r="475" spans="1:16">
      <c r="A475">
        <v>2019</v>
      </c>
      <c r="B475" t="s">
        <v>48</v>
      </c>
      <c r="C475" t="s">
        <v>31</v>
      </c>
      <c r="D475" t="s">
        <v>32</v>
      </c>
      <c r="E475" t="s">
        <v>19</v>
      </c>
      <c r="F475" t="s">
        <v>33</v>
      </c>
      <c r="G475" s="3">
        <v>108870</v>
      </c>
      <c r="H475" s="3">
        <v>383245</v>
      </c>
      <c r="I475">
        <v>363</v>
      </c>
      <c r="J475" s="3">
        <v>0.97</v>
      </c>
      <c r="K475">
        <v>6.29</v>
      </c>
      <c r="L475">
        <v>1.2</v>
      </c>
      <c r="M475">
        <v>1</v>
      </c>
      <c r="N475">
        <v>951</v>
      </c>
      <c r="O475" s="3">
        <f t="shared" si="14"/>
        <v>103535370</v>
      </c>
      <c r="P475" s="3">
        <f t="shared" si="15"/>
        <v>103152125</v>
      </c>
    </row>
    <row r="476" spans="1:16">
      <c r="A476">
        <v>2016</v>
      </c>
      <c r="B476" t="s">
        <v>37</v>
      </c>
      <c r="C476" t="s">
        <v>45</v>
      </c>
      <c r="D476" t="s">
        <v>42</v>
      </c>
      <c r="E476" t="s">
        <v>19</v>
      </c>
      <c r="F476" t="s">
        <v>24</v>
      </c>
      <c r="G476" s="3">
        <v>59162</v>
      </c>
      <c r="H476" s="3">
        <v>334965</v>
      </c>
      <c r="I476">
        <v>155</v>
      </c>
      <c r="J476" s="3">
        <v>0.97</v>
      </c>
      <c r="K476">
        <v>6.29</v>
      </c>
      <c r="L476">
        <v>1.2</v>
      </c>
      <c r="M476">
        <v>5</v>
      </c>
      <c r="N476">
        <v>542</v>
      </c>
      <c r="O476" s="3">
        <f t="shared" si="14"/>
        <v>32065804</v>
      </c>
      <c r="P476" s="3">
        <f t="shared" si="15"/>
        <v>31730839</v>
      </c>
    </row>
    <row r="477" spans="1:16">
      <c r="A477">
        <v>2022</v>
      </c>
      <c r="B477" t="s">
        <v>37</v>
      </c>
      <c r="C477" t="s">
        <v>45</v>
      </c>
      <c r="D477" t="s">
        <v>30</v>
      </c>
      <c r="E477" t="s">
        <v>23</v>
      </c>
      <c r="F477" t="s">
        <v>28</v>
      </c>
      <c r="G477" s="3">
        <v>41008</v>
      </c>
      <c r="H477" s="3">
        <v>75494</v>
      </c>
      <c r="I477">
        <v>94</v>
      </c>
      <c r="J477" s="3">
        <v>0.97</v>
      </c>
      <c r="K477">
        <v>6.29</v>
      </c>
      <c r="L477">
        <v>1.2</v>
      </c>
      <c r="M477">
        <v>8</v>
      </c>
      <c r="N477">
        <v>398</v>
      </c>
      <c r="O477" s="3">
        <f t="shared" si="14"/>
        <v>16321184</v>
      </c>
      <c r="P477" s="3">
        <f t="shared" si="15"/>
        <v>16245690</v>
      </c>
    </row>
    <row r="478" spans="1:16">
      <c r="A478">
        <v>2018</v>
      </c>
      <c r="B478" t="s">
        <v>48</v>
      </c>
      <c r="C478" t="s">
        <v>38</v>
      </c>
      <c r="D478" t="s">
        <v>30</v>
      </c>
      <c r="E478" t="s">
        <v>23</v>
      </c>
      <c r="F478" t="s">
        <v>28</v>
      </c>
      <c r="G478" s="3">
        <v>42987</v>
      </c>
      <c r="H478" s="3">
        <v>149477</v>
      </c>
      <c r="I478">
        <v>109</v>
      </c>
      <c r="J478" s="3">
        <v>0.97</v>
      </c>
      <c r="K478">
        <v>6.29</v>
      </c>
      <c r="L478">
        <v>1.2</v>
      </c>
      <c r="M478">
        <v>4</v>
      </c>
      <c r="N478">
        <v>296</v>
      </c>
      <c r="O478" s="3">
        <f t="shared" si="14"/>
        <v>12724152</v>
      </c>
      <c r="P478" s="3">
        <f t="shared" si="15"/>
        <v>12574675</v>
      </c>
    </row>
    <row r="479" spans="1:16">
      <c r="A479">
        <v>2023</v>
      </c>
      <c r="B479" t="s">
        <v>50</v>
      </c>
      <c r="C479" t="s">
        <v>26</v>
      </c>
      <c r="D479" t="s">
        <v>39</v>
      </c>
      <c r="E479" t="s">
        <v>23</v>
      </c>
      <c r="F479" t="s">
        <v>20</v>
      </c>
      <c r="G479" s="3">
        <v>97532</v>
      </c>
      <c r="H479" s="3">
        <v>438227</v>
      </c>
      <c r="I479">
        <v>113</v>
      </c>
      <c r="J479" s="3">
        <v>0.97</v>
      </c>
      <c r="K479">
        <v>6.29</v>
      </c>
      <c r="L479">
        <v>1.2</v>
      </c>
      <c r="M479">
        <v>8</v>
      </c>
      <c r="N479">
        <v>517</v>
      </c>
      <c r="O479" s="3">
        <f t="shared" si="14"/>
        <v>50424044</v>
      </c>
      <c r="P479" s="3">
        <f t="shared" si="15"/>
        <v>49985817</v>
      </c>
    </row>
    <row r="480" spans="1:16">
      <c r="A480">
        <v>2019</v>
      </c>
      <c r="B480" t="s">
        <v>16</v>
      </c>
      <c r="C480" t="s">
        <v>34</v>
      </c>
      <c r="D480" t="s">
        <v>41</v>
      </c>
      <c r="E480" t="s">
        <v>23</v>
      </c>
      <c r="F480" t="s">
        <v>28</v>
      </c>
      <c r="G480" s="3">
        <v>38332</v>
      </c>
      <c r="H480" s="3">
        <v>255232</v>
      </c>
      <c r="I480">
        <v>55</v>
      </c>
      <c r="J480" s="3">
        <v>0.97</v>
      </c>
      <c r="K480">
        <v>6.29</v>
      </c>
      <c r="L480">
        <v>1.2</v>
      </c>
      <c r="M480">
        <v>8</v>
      </c>
      <c r="N480">
        <v>418</v>
      </c>
      <c r="O480" s="3">
        <f t="shared" si="14"/>
        <v>16022776</v>
      </c>
      <c r="P480" s="3">
        <f t="shared" si="15"/>
        <v>15767544</v>
      </c>
    </row>
    <row r="481" spans="1:16">
      <c r="A481">
        <v>2023</v>
      </c>
      <c r="B481" t="s">
        <v>47</v>
      </c>
      <c r="C481" t="s">
        <v>34</v>
      </c>
      <c r="D481" t="s">
        <v>30</v>
      </c>
      <c r="E481" t="s">
        <v>23</v>
      </c>
      <c r="F481" t="s">
        <v>33</v>
      </c>
      <c r="G481" s="3">
        <v>101323</v>
      </c>
      <c r="H481" s="3">
        <v>424842</v>
      </c>
      <c r="I481">
        <v>53</v>
      </c>
      <c r="J481" s="3">
        <v>0.97</v>
      </c>
      <c r="K481">
        <v>6.29</v>
      </c>
      <c r="L481">
        <v>1.2</v>
      </c>
      <c r="M481">
        <v>3</v>
      </c>
      <c r="N481">
        <v>306</v>
      </c>
      <c r="O481" s="3">
        <f t="shared" si="14"/>
        <v>31004838</v>
      </c>
      <c r="P481" s="3">
        <f t="shared" si="15"/>
        <v>30579996</v>
      </c>
    </row>
    <row r="482" spans="1:16">
      <c r="A482">
        <v>2018</v>
      </c>
      <c r="B482" t="s">
        <v>49</v>
      </c>
      <c r="C482" t="s">
        <v>31</v>
      </c>
      <c r="D482" t="s">
        <v>27</v>
      </c>
      <c r="E482" t="s">
        <v>23</v>
      </c>
      <c r="F482" t="s">
        <v>28</v>
      </c>
      <c r="G482" s="3">
        <v>73990</v>
      </c>
      <c r="H482" s="3">
        <v>423704</v>
      </c>
      <c r="I482">
        <v>287</v>
      </c>
      <c r="J482" s="3">
        <v>0.97</v>
      </c>
      <c r="K482">
        <v>6.29</v>
      </c>
      <c r="L482">
        <v>1.2</v>
      </c>
      <c r="M482">
        <v>9</v>
      </c>
      <c r="N482">
        <v>930</v>
      </c>
      <c r="O482" s="3">
        <f t="shared" si="14"/>
        <v>68810700</v>
      </c>
      <c r="P482" s="3">
        <f t="shared" si="15"/>
        <v>68386996</v>
      </c>
    </row>
    <row r="483" spans="1:16">
      <c r="A483">
        <v>2024</v>
      </c>
      <c r="B483" t="s">
        <v>35</v>
      </c>
      <c r="C483" t="s">
        <v>31</v>
      </c>
      <c r="D483" t="s">
        <v>18</v>
      </c>
      <c r="E483" t="s">
        <v>19</v>
      </c>
      <c r="F483" t="s">
        <v>20</v>
      </c>
      <c r="G483" s="3">
        <v>44873</v>
      </c>
      <c r="H483" s="3">
        <v>444051</v>
      </c>
      <c r="I483">
        <v>190</v>
      </c>
      <c r="J483" s="3">
        <v>0.97</v>
      </c>
      <c r="K483">
        <v>6.29</v>
      </c>
      <c r="L483">
        <v>1.2</v>
      </c>
      <c r="M483">
        <v>3</v>
      </c>
      <c r="N483">
        <v>805</v>
      </c>
      <c r="O483" s="3">
        <f t="shared" si="14"/>
        <v>36122765</v>
      </c>
      <c r="P483" s="3">
        <f t="shared" si="15"/>
        <v>35678714</v>
      </c>
    </row>
    <row r="484" spans="1:16">
      <c r="A484">
        <v>2019</v>
      </c>
      <c r="B484" t="s">
        <v>43</v>
      </c>
      <c r="C484" t="s">
        <v>31</v>
      </c>
      <c r="D484" t="s">
        <v>18</v>
      </c>
      <c r="E484" t="s">
        <v>19</v>
      </c>
      <c r="F484" t="s">
        <v>24</v>
      </c>
      <c r="G484" s="3">
        <v>117542</v>
      </c>
      <c r="H484" s="3">
        <v>330790</v>
      </c>
      <c r="I484">
        <v>196</v>
      </c>
      <c r="J484" s="3">
        <v>0.97</v>
      </c>
      <c r="K484">
        <v>6.29</v>
      </c>
      <c r="L484">
        <v>1.2</v>
      </c>
      <c r="M484">
        <v>1</v>
      </c>
      <c r="N484">
        <v>538</v>
      </c>
      <c r="O484" s="3">
        <f t="shared" si="14"/>
        <v>63237596</v>
      </c>
      <c r="P484" s="3">
        <f t="shared" si="15"/>
        <v>62906806</v>
      </c>
    </row>
    <row r="485" spans="1:16">
      <c r="A485">
        <v>2023</v>
      </c>
      <c r="B485" t="s">
        <v>16</v>
      </c>
      <c r="C485" t="s">
        <v>44</v>
      </c>
      <c r="D485" t="s">
        <v>27</v>
      </c>
      <c r="E485" t="s">
        <v>23</v>
      </c>
      <c r="F485" t="s">
        <v>24</v>
      </c>
      <c r="G485" s="3">
        <v>71444</v>
      </c>
      <c r="H485" s="3">
        <v>173777</v>
      </c>
      <c r="I485">
        <v>123</v>
      </c>
      <c r="J485" s="3">
        <v>0.97</v>
      </c>
      <c r="K485">
        <v>6.29</v>
      </c>
      <c r="L485">
        <v>1.2</v>
      </c>
      <c r="M485">
        <v>2</v>
      </c>
      <c r="N485">
        <v>697</v>
      </c>
      <c r="O485" s="3">
        <f t="shared" si="14"/>
        <v>49796468</v>
      </c>
      <c r="P485" s="3">
        <f t="shared" si="15"/>
        <v>49622691</v>
      </c>
    </row>
    <row r="486" spans="1:16">
      <c r="A486">
        <v>2022</v>
      </c>
      <c r="B486" t="s">
        <v>29</v>
      </c>
      <c r="C486" t="s">
        <v>51</v>
      </c>
      <c r="D486" t="s">
        <v>41</v>
      </c>
      <c r="E486" t="s">
        <v>23</v>
      </c>
      <c r="F486" t="s">
        <v>28</v>
      </c>
      <c r="G486" s="3">
        <v>70340</v>
      </c>
      <c r="H486" s="3">
        <v>127360</v>
      </c>
      <c r="I486">
        <v>264</v>
      </c>
      <c r="J486" s="3">
        <v>0.97</v>
      </c>
      <c r="K486">
        <v>6.29</v>
      </c>
      <c r="L486">
        <v>1.2</v>
      </c>
      <c r="M486">
        <v>6</v>
      </c>
      <c r="N486">
        <v>902</v>
      </c>
      <c r="O486" s="3">
        <f t="shared" si="14"/>
        <v>63446680</v>
      </c>
      <c r="P486" s="3">
        <f t="shared" si="15"/>
        <v>63319320</v>
      </c>
    </row>
    <row r="487" spans="1:16">
      <c r="A487">
        <v>2017</v>
      </c>
      <c r="B487" t="s">
        <v>43</v>
      </c>
      <c r="C487" t="s">
        <v>45</v>
      </c>
      <c r="D487" t="s">
        <v>41</v>
      </c>
      <c r="E487" t="s">
        <v>23</v>
      </c>
      <c r="F487" t="s">
        <v>33</v>
      </c>
      <c r="G487" s="3">
        <v>40033</v>
      </c>
      <c r="H487" s="3">
        <v>349479</v>
      </c>
      <c r="I487">
        <v>390</v>
      </c>
      <c r="J487" s="3">
        <v>0.97</v>
      </c>
      <c r="K487">
        <v>6.29</v>
      </c>
      <c r="L487">
        <v>1.2</v>
      </c>
      <c r="M487">
        <v>10</v>
      </c>
      <c r="N487">
        <v>1118</v>
      </c>
      <c r="O487" s="3">
        <f t="shared" si="14"/>
        <v>44756894</v>
      </c>
      <c r="P487" s="3">
        <f t="shared" si="15"/>
        <v>44407415</v>
      </c>
    </row>
    <row r="488" spans="1:16">
      <c r="A488">
        <v>2015</v>
      </c>
      <c r="B488" t="s">
        <v>49</v>
      </c>
      <c r="C488" t="s">
        <v>44</v>
      </c>
      <c r="D488" t="s">
        <v>39</v>
      </c>
      <c r="E488" t="s">
        <v>23</v>
      </c>
      <c r="F488" t="s">
        <v>20</v>
      </c>
      <c r="G488" s="3">
        <v>108324</v>
      </c>
      <c r="H488" s="3">
        <v>381495</v>
      </c>
      <c r="I488">
        <v>389</v>
      </c>
      <c r="J488" s="3">
        <v>0.97</v>
      </c>
      <c r="K488">
        <v>6.29</v>
      </c>
      <c r="L488">
        <v>1.2</v>
      </c>
      <c r="M488">
        <v>2</v>
      </c>
      <c r="N488">
        <v>1242</v>
      </c>
      <c r="O488" s="3">
        <f t="shared" si="14"/>
        <v>134538408</v>
      </c>
      <c r="P488" s="3">
        <f t="shared" si="15"/>
        <v>134156913</v>
      </c>
    </row>
    <row r="489" spans="1:16">
      <c r="A489">
        <v>2017</v>
      </c>
      <c r="B489" t="s">
        <v>53</v>
      </c>
      <c r="C489" t="s">
        <v>40</v>
      </c>
      <c r="D489" t="s">
        <v>32</v>
      </c>
      <c r="E489" t="s">
        <v>19</v>
      </c>
      <c r="F489" t="s">
        <v>33</v>
      </c>
      <c r="G489" s="3">
        <v>50689</v>
      </c>
      <c r="H489" s="3">
        <v>427078</v>
      </c>
      <c r="I489">
        <v>39</v>
      </c>
      <c r="J489" s="3">
        <v>0.97</v>
      </c>
      <c r="K489">
        <v>6.29</v>
      </c>
      <c r="L489">
        <v>1.2</v>
      </c>
      <c r="M489">
        <v>6</v>
      </c>
      <c r="N489">
        <v>406</v>
      </c>
      <c r="O489" s="3">
        <f t="shared" si="14"/>
        <v>20579734</v>
      </c>
      <c r="P489" s="3">
        <f t="shared" si="15"/>
        <v>20152656</v>
      </c>
    </row>
    <row r="490" spans="1:16">
      <c r="A490">
        <v>2018</v>
      </c>
      <c r="B490" t="s">
        <v>53</v>
      </c>
      <c r="C490" t="s">
        <v>34</v>
      </c>
      <c r="D490" t="s">
        <v>22</v>
      </c>
      <c r="E490" t="s">
        <v>23</v>
      </c>
      <c r="F490" t="s">
        <v>20</v>
      </c>
      <c r="G490" s="3">
        <v>35066</v>
      </c>
      <c r="H490" s="3">
        <v>183501</v>
      </c>
      <c r="I490">
        <v>273</v>
      </c>
      <c r="J490" s="3">
        <v>0.97</v>
      </c>
      <c r="K490">
        <v>6.29</v>
      </c>
      <c r="L490">
        <v>1.2</v>
      </c>
      <c r="M490">
        <v>1</v>
      </c>
      <c r="N490">
        <v>878</v>
      </c>
      <c r="O490" s="3">
        <f t="shared" si="14"/>
        <v>30787948</v>
      </c>
      <c r="P490" s="3">
        <f t="shared" si="15"/>
        <v>30604447</v>
      </c>
    </row>
    <row r="491" spans="1:16">
      <c r="A491">
        <v>2016</v>
      </c>
      <c r="B491" t="s">
        <v>16</v>
      </c>
      <c r="C491" t="s">
        <v>17</v>
      </c>
      <c r="D491" t="s">
        <v>41</v>
      </c>
      <c r="E491" t="s">
        <v>23</v>
      </c>
      <c r="F491" t="s">
        <v>28</v>
      </c>
      <c r="G491" s="3">
        <v>80246</v>
      </c>
      <c r="H491" s="3">
        <v>354094</v>
      </c>
      <c r="I491">
        <v>107</v>
      </c>
      <c r="J491" s="3">
        <v>0.97</v>
      </c>
      <c r="K491">
        <v>6.29</v>
      </c>
      <c r="L491">
        <v>1.2</v>
      </c>
      <c r="M491">
        <v>1</v>
      </c>
      <c r="N491">
        <v>479</v>
      </c>
      <c r="O491" s="3">
        <f t="shared" si="14"/>
        <v>38437834</v>
      </c>
      <c r="P491" s="3">
        <f t="shared" si="15"/>
        <v>38083740</v>
      </c>
    </row>
    <row r="492" spans="1:16">
      <c r="A492">
        <v>2015</v>
      </c>
      <c r="B492" t="s">
        <v>21</v>
      </c>
      <c r="C492" t="s">
        <v>45</v>
      </c>
      <c r="D492" t="s">
        <v>42</v>
      </c>
      <c r="E492" t="s">
        <v>19</v>
      </c>
      <c r="F492" t="s">
        <v>20</v>
      </c>
      <c r="G492" s="3">
        <v>42533</v>
      </c>
      <c r="H492" s="3">
        <v>110654</v>
      </c>
      <c r="I492">
        <v>322</v>
      </c>
      <c r="J492" s="3">
        <v>0.97</v>
      </c>
      <c r="K492">
        <v>6.29</v>
      </c>
      <c r="L492">
        <v>1.2</v>
      </c>
      <c r="M492">
        <v>5</v>
      </c>
      <c r="N492">
        <v>721</v>
      </c>
      <c r="O492" s="3">
        <f t="shared" si="14"/>
        <v>30666293</v>
      </c>
      <c r="P492" s="3">
        <f t="shared" si="15"/>
        <v>30555639</v>
      </c>
    </row>
    <row r="493" spans="1:16">
      <c r="A493">
        <v>2021</v>
      </c>
      <c r="B493" t="s">
        <v>49</v>
      </c>
      <c r="C493" t="s">
        <v>46</v>
      </c>
      <c r="D493" t="s">
        <v>39</v>
      </c>
      <c r="E493" t="s">
        <v>23</v>
      </c>
      <c r="F493" t="s">
        <v>20</v>
      </c>
      <c r="G493" s="3">
        <v>115639</v>
      </c>
      <c r="H493" s="3">
        <v>419566</v>
      </c>
      <c r="I493">
        <v>376</v>
      </c>
      <c r="J493" s="3">
        <v>0.97</v>
      </c>
      <c r="K493">
        <v>6.29</v>
      </c>
      <c r="L493">
        <v>1.2</v>
      </c>
      <c r="M493">
        <v>10</v>
      </c>
      <c r="N493">
        <v>1161</v>
      </c>
      <c r="O493" s="3">
        <f t="shared" si="14"/>
        <v>134256879</v>
      </c>
      <c r="P493" s="3">
        <f t="shared" si="15"/>
        <v>133837313</v>
      </c>
    </row>
    <row r="494" spans="1:16">
      <c r="A494">
        <v>2022</v>
      </c>
      <c r="B494" t="s">
        <v>49</v>
      </c>
      <c r="C494" t="s">
        <v>40</v>
      </c>
      <c r="D494" t="s">
        <v>52</v>
      </c>
      <c r="E494" t="s">
        <v>19</v>
      </c>
      <c r="F494" t="s">
        <v>28</v>
      </c>
      <c r="G494" s="3">
        <v>105152</v>
      </c>
      <c r="H494" s="3">
        <v>422078</v>
      </c>
      <c r="I494">
        <v>338</v>
      </c>
      <c r="J494" s="3">
        <v>0.97</v>
      </c>
      <c r="K494">
        <v>6.29</v>
      </c>
      <c r="L494">
        <v>1.2</v>
      </c>
      <c r="M494">
        <v>9</v>
      </c>
      <c r="N494">
        <v>717</v>
      </c>
      <c r="O494" s="3">
        <f t="shared" si="14"/>
        <v>75393984</v>
      </c>
      <c r="P494" s="3">
        <f t="shared" si="15"/>
        <v>74971906</v>
      </c>
    </row>
    <row r="495" spans="1:16">
      <c r="A495">
        <v>2021</v>
      </c>
      <c r="B495" t="s">
        <v>48</v>
      </c>
      <c r="C495" t="s">
        <v>45</v>
      </c>
      <c r="D495" t="s">
        <v>36</v>
      </c>
      <c r="E495" t="s">
        <v>19</v>
      </c>
      <c r="F495" t="s">
        <v>33</v>
      </c>
      <c r="G495" s="3">
        <v>94658</v>
      </c>
      <c r="H495" s="3">
        <v>169975</v>
      </c>
      <c r="I495">
        <v>124</v>
      </c>
      <c r="J495" s="3">
        <v>0.97</v>
      </c>
      <c r="K495">
        <v>6.29</v>
      </c>
      <c r="L495">
        <v>1.2</v>
      </c>
      <c r="M495">
        <v>8</v>
      </c>
      <c r="N495">
        <v>428</v>
      </c>
      <c r="O495" s="3">
        <f t="shared" si="14"/>
        <v>40513624</v>
      </c>
      <c r="P495" s="3">
        <f t="shared" si="15"/>
        <v>40343649</v>
      </c>
    </row>
    <row r="496" spans="1:16">
      <c r="A496">
        <v>2019</v>
      </c>
      <c r="B496" t="s">
        <v>21</v>
      </c>
      <c r="C496" t="s">
        <v>44</v>
      </c>
      <c r="D496" t="s">
        <v>52</v>
      </c>
      <c r="E496" t="s">
        <v>19</v>
      </c>
      <c r="F496" t="s">
        <v>28</v>
      </c>
      <c r="G496" s="3">
        <v>73498</v>
      </c>
      <c r="H496" s="3">
        <v>249215</v>
      </c>
      <c r="I496">
        <v>285</v>
      </c>
      <c r="J496" s="3">
        <v>0.97</v>
      </c>
      <c r="K496">
        <v>6.29</v>
      </c>
      <c r="L496">
        <v>1.2</v>
      </c>
      <c r="M496">
        <v>3</v>
      </c>
      <c r="N496">
        <v>929</v>
      </c>
      <c r="O496" s="3">
        <f t="shared" si="14"/>
        <v>68279642</v>
      </c>
      <c r="P496" s="3">
        <f t="shared" si="15"/>
        <v>68030427</v>
      </c>
    </row>
    <row r="497" spans="1:16">
      <c r="A497">
        <v>2015</v>
      </c>
      <c r="B497" t="s">
        <v>47</v>
      </c>
      <c r="C497" t="s">
        <v>26</v>
      </c>
      <c r="D497" t="s">
        <v>39</v>
      </c>
      <c r="E497" t="s">
        <v>23</v>
      </c>
      <c r="F497" t="s">
        <v>20</v>
      </c>
      <c r="G497" s="3">
        <v>46772</v>
      </c>
      <c r="H497" s="3">
        <v>403330</v>
      </c>
      <c r="I497">
        <v>290</v>
      </c>
      <c r="J497" s="3">
        <v>0.97</v>
      </c>
      <c r="K497">
        <v>6.29</v>
      </c>
      <c r="L497">
        <v>1.2</v>
      </c>
      <c r="M497">
        <v>3</v>
      </c>
      <c r="N497">
        <v>1044</v>
      </c>
      <c r="O497" s="3">
        <f t="shared" si="14"/>
        <v>48829968</v>
      </c>
      <c r="P497" s="3">
        <f t="shared" si="15"/>
        <v>48426638</v>
      </c>
    </row>
    <row r="498" spans="1:16">
      <c r="A498">
        <v>2021</v>
      </c>
      <c r="B498" t="s">
        <v>47</v>
      </c>
      <c r="C498" t="s">
        <v>17</v>
      </c>
      <c r="D498" t="s">
        <v>30</v>
      </c>
      <c r="E498" t="s">
        <v>23</v>
      </c>
      <c r="F498" t="s">
        <v>28</v>
      </c>
      <c r="G498" s="3">
        <v>84036</v>
      </c>
      <c r="H498" s="3">
        <v>416378</v>
      </c>
      <c r="I498">
        <v>284</v>
      </c>
      <c r="J498" s="3">
        <v>0.97</v>
      </c>
      <c r="K498">
        <v>6.29</v>
      </c>
      <c r="L498">
        <v>1.2</v>
      </c>
      <c r="M498">
        <v>1</v>
      </c>
      <c r="N498">
        <v>1016</v>
      </c>
      <c r="O498" s="3">
        <f t="shared" si="14"/>
        <v>85380576</v>
      </c>
      <c r="P498" s="3">
        <f t="shared" si="15"/>
        <v>84964198</v>
      </c>
    </row>
    <row r="499" spans="1:16">
      <c r="A499">
        <v>2021</v>
      </c>
      <c r="B499" t="s">
        <v>35</v>
      </c>
      <c r="C499" t="s">
        <v>45</v>
      </c>
      <c r="D499" t="s">
        <v>22</v>
      </c>
      <c r="E499" t="s">
        <v>23</v>
      </c>
      <c r="F499" t="s">
        <v>20</v>
      </c>
      <c r="G499" s="3">
        <v>93531</v>
      </c>
      <c r="H499" s="3">
        <v>152326</v>
      </c>
      <c r="I499">
        <v>270</v>
      </c>
      <c r="J499" s="3">
        <v>0.97</v>
      </c>
      <c r="K499">
        <v>6.29</v>
      </c>
      <c r="L499">
        <v>1.2</v>
      </c>
      <c r="M499">
        <v>3</v>
      </c>
      <c r="N499">
        <v>602</v>
      </c>
      <c r="O499" s="3">
        <f t="shared" si="14"/>
        <v>56305662</v>
      </c>
      <c r="P499" s="3">
        <f t="shared" si="15"/>
        <v>56153336</v>
      </c>
    </row>
    <row r="500" spans="1:16">
      <c r="A500">
        <v>2023</v>
      </c>
      <c r="B500" t="s">
        <v>37</v>
      </c>
      <c r="C500" t="s">
        <v>51</v>
      </c>
      <c r="D500" t="s">
        <v>36</v>
      </c>
      <c r="E500" t="s">
        <v>19</v>
      </c>
      <c r="F500" t="s">
        <v>28</v>
      </c>
      <c r="G500" s="3">
        <v>47940</v>
      </c>
      <c r="H500" s="3">
        <v>127527</v>
      </c>
      <c r="I500">
        <v>340</v>
      </c>
      <c r="J500" s="3">
        <v>0.97</v>
      </c>
      <c r="K500">
        <v>6.29</v>
      </c>
      <c r="L500">
        <v>1.2</v>
      </c>
      <c r="M500">
        <v>1</v>
      </c>
      <c r="N500">
        <v>1109</v>
      </c>
      <c r="O500" s="3">
        <f t="shared" si="14"/>
        <v>53165460</v>
      </c>
      <c r="P500" s="3">
        <f t="shared" si="15"/>
        <v>53037933</v>
      </c>
    </row>
    <row r="501" spans="1:16">
      <c r="A501">
        <v>2017</v>
      </c>
      <c r="B501" t="s">
        <v>53</v>
      </c>
      <c r="C501" t="s">
        <v>31</v>
      </c>
      <c r="D501" t="s">
        <v>52</v>
      </c>
      <c r="E501" t="s">
        <v>19</v>
      </c>
      <c r="F501" t="s">
        <v>24</v>
      </c>
      <c r="G501" s="3">
        <v>51932</v>
      </c>
      <c r="H501" s="3">
        <v>398848</v>
      </c>
      <c r="I501">
        <v>216</v>
      </c>
      <c r="J501" s="3">
        <v>0.97</v>
      </c>
      <c r="K501">
        <v>6.29</v>
      </c>
      <c r="L501">
        <v>1.2</v>
      </c>
      <c r="M501">
        <v>8</v>
      </c>
      <c r="N501">
        <v>711</v>
      </c>
      <c r="O501" s="3">
        <f t="shared" si="14"/>
        <v>36923652</v>
      </c>
      <c r="P501" s="3">
        <f t="shared" si="15"/>
        <v>36524804</v>
      </c>
    </row>
    <row r="502" spans="1:16">
      <c r="A502">
        <v>2023</v>
      </c>
      <c r="B502" t="s">
        <v>29</v>
      </c>
      <c r="C502" t="s">
        <v>31</v>
      </c>
      <c r="D502" t="s">
        <v>36</v>
      </c>
      <c r="E502" t="s">
        <v>19</v>
      </c>
      <c r="F502" t="s">
        <v>24</v>
      </c>
      <c r="G502" s="3">
        <v>91827</v>
      </c>
      <c r="H502" s="3">
        <v>474315</v>
      </c>
      <c r="I502">
        <v>393</v>
      </c>
      <c r="J502" s="3">
        <v>0.97</v>
      </c>
      <c r="K502">
        <v>6.29</v>
      </c>
      <c r="L502">
        <v>1.2</v>
      </c>
      <c r="M502">
        <v>1</v>
      </c>
      <c r="N502">
        <v>896</v>
      </c>
      <c r="O502" s="3">
        <f t="shared" si="14"/>
        <v>82276992</v>
      </c>
      <c r="P502" s="3">
        <f t="shared" si="15"/>
        <v>81802677</v>
      </c>
    </row>
    <row r="503" spans="1:16">
      <c r="A503">
        <v>2015</v>
      </c>
      <c r="B503" t="s">
        <v>47</v>
      </c>
      <c r="C503" t="s">
        <v>17</v>
      </c>
      <c r="D503" t="s">
        <v>42</v>
      </c>
      <c r="E503" t="s">
        <v>19</v>
      </c>
      <c r="F503" t="s">
        <v>28</v>
      </c>
      <c r="G503" s="3">
        <v>96431</v>
      </c>
      <c r="H503" s="3">
        <v>482601</v>
      </c>
      <c r="I503">
        <v>337</v>
      </c>
      <c r="J503" s="3">
        <v>0.97</v>
      </c>
      <c r="K503">
        <v>6.29</v>
      </c>
      <c r="L503">
        <v>1.2</v>
      </c>
      <c r="M503">
        <v>5</v>
      </c>
      <c r="N503">
        <v>937</v>
      </c>
      <c r="O503" s="3">
        <f t="shared" si="14"/>
        <v>90355847</v>
      </c>
      <c r="P503" s="3">
        <f t="shared" si="15"/>
        <v>89873246</v>
      </c>
    </row>
    <row r="504" spans="1:16">
      <c r="A504">
        <v>2015</v>
      </c>
      <c r="B504" t="s">
        <v>21</v>
      </c>
      <c r="C504" t="s">
        <v>44</v>
      </c>
      <c r="D504" t="s">
        <v>42</v>
      </c>
      <c r="E504" t="s">
        <v>19</v>
      </c>
      <c r="F504" t="s">
        <v>33</v>
      </c>
      <c r="G504" s="3">
        <v>59648</v>
      </c>
      <c r="H504" s="3">
        <v>216991</v>
      </c>
      <c r="I504">
        <v>220</v>
      </c>
      <c r="J504" s="3">
        <v>0.97</v>
      </c>
      <c r="K504">
        <v>6.29</v>
      </c>
      <c r="L504">
        <v>1.2</v>
      </c>
      <c r="M504">
        <v>9</v>
      </c>
      <c r="N504">
        <v>724</v>
      </c>
      <c r="O504" s="3">
        <f t="shared" si="14"/>
        <v>43185152</v>
      </c>
      <c r="P504" s="3">
        <f t="shared" si="15"/>
        <v>42968161</v>
      </c>
    </row>
    <row r="505" spans="1:16">
      <c r="A505">
        <v>2018</v>
      </c>
      <c r="B505" t="s">
        <v>49</v>
      </c>
      <c r="C505" t="s">
        <v>31</v>
      </c>
      <c r="D505" t="s">
        <v>42</v>
      </c>
      <c r="E505" t="s">
        <v>19</v>
      </c>
      <c r="F505" t="s">
        <v>20</v>
      </c>
      <c r="G505" s="3">
        <v>67966</v>
      </c>
      <c r="H505" s="3">
        <v>146952</v>
      </c>
      <c r="I505">
        <v>224</v>
      </c>
      <c r="J505" s="3">
        <v>0.97</v>
      </c>
      <c r="K505">
        <v>6.29</v>
      </c>
      <c r="L505">
        <v>1.2</v>
      </c>
      <c r="M505">
        <v>7</v>
      </c>
      <c r="N505">
        <v>480</v>
      </c>
      <c r="O505" s="3">
        <f t="shared" si="14"/>
        <v>32623680</v>
      </c>
      <c r="P505" s="3">
        <f t="shared" si="15"/>
        <v>32476728</v>
      </c>
    </row>
    <row r="506" spans="1:16">
      <c r="A506">
        <v>2023</v>
      </c>
      <c r="B506" t="s">
        <v>29</v>
      </c>
      <c r="C506" t="s">
        <v>45</v>
      </c>
      <c r="D506" t="s">
        <v>39</v>
      </c>
      <c r="E506" t="s">
        <v>23</v>
      </c>
      <c r="F506" t="s">
        <v>24</v>
      </c>
      <c r="G506" s="3">
        <v>62777</v>
      </c>
      <c r="H506" s="3">
        <v>372926</v>
      </c>
      <c r="I506">
        <v>49</v>
      </c>
      <c r="J506" s="3">
        <v>0.97</v>
      </c>
      <c r="K506">
        <v>6.29</v>
      </c>
      <c r="L506">
        <v>1.2</v>
      </c>
      <c r="M506">
        <v>4</v>
      </c>
      <c r="N506">
        <v>157</v>
      </c>
      <c r="O506" s="3">
        <f t="shared" si="14"/>
        <v>9855989</v>
      </c>
      <c r="P506" s="3">
        <f t="shared" si="15"/>
        <v>9483063</v>
      </c>
    </row>
    <row r="507" spans="1:16">
      <c r="A507">
        <v>2020</v>
      </c>
      <c r="B507" t="s">
        <v>25</v>
      </c>
      <c r="C507" t="s">
        <v>46</v>
      </c>
      <c r="D507" t="s">
        <v>22</v>
      </c>
      <c r="E507" t="s">
        <v>23</v>
      </c>
      <c r="F507" t="s">
        <v>33</v>
      </c>
      <c r="G507" s="3">
        <v>67567</v>
      </c>
      <c r="H507" s="3">
        <v>383260</v>
      </c>
      <c r="I507">
        <v>35</v>
      </c>
      <c r="J507" s="3">
        <v>0.97</v>
      </c>
      <c r="K507">
        <v>6.29</v>
      </c>
      <c r="L507">
        <v>1.2</v>
      </c>
      <c r="M507">
        <v>9</v>
      </c>
      <c r="N507">
        <v>488</v>
      </c>
      <c r="O507" s="3">
        <f t="shared" si="14"/>
        <v>32972696</v>
      </c>
      <c r="P507" s="3">
        <f t="shared" si="15"/>
        <v>32589436</v>
      </c>
    </row>
    <row r="508" spans="1:16">
      <c r="A508">
        <v>2017</v>
      </c>
      <c r="B508" t="s">
        <v>47</v>
      </c>
      <c r="C508" t="s">
        <v>34</v>
      </c>
      <c r="D508" t="s">
        <v>39</v>
      </c>
      <c r="E508" t="s">
        <v>23</v>
      </c>
      <c r="F508" t="s">
        <v>20</v>
      </c>
      <c r="G508" s="3">
        <v>52174</v>
      </c>
      <c r="H508" s="3">
        <v>401770</v>
      </c>
      <c r="I508">
        <v>36</v>
      </c>
      <c r="J508" s="3">
        <v>0.97</v>
      </c>
      <c r="K508">
        <v>6.29</v>
      </c>
      <c r="L508">
        <v>1.2</v>
      </c>
      <c r="M508">
        <v>9</v>
      </c>
      <c r="N508">
        <v>149</v>
      </c>
      <c r="O508" s="3">
        <f t="shared" si="14"/>
        <v>7773926</v>
      </c>
      <c r="P508" s="3">
        <f t="shared" si="15"/>
        <v>7372156</v>
      </c>
    </row>
    <row r="509" spans="1:16">
      <c r="A509">
        <v>2015</v>
      </c>
      <c r="B509" t="s">
        <v>49</v>
      </c>
      <c r="C509" t="s">
        <v>34</v>
      </c>
      <c r="D509" t="s">
        <v>18</v>
      </c>
      <c r="E509" t="s">
        <v>19</v>
      </c>
      <c r="F509" t="s">
        <v>24</v>
      </c>
      <c r="G509" s="3">
        <v>77598</v>
      </c>
      <c r="H509" s="3">
        <v>483603</v>
      </c>
      <c r="I509">
        <v>199</v>
      </c>
      <c r="J509" s="3">
        <v>0.97</v>
      </c>
      <c r="K509">
        <v>6.29</v>
      </c>
      <c r="L509">
        <v>1.2</v>
      </c>
      <c r="M509">
        <v>2</v>
      </c>
      <c r="N509">
        <v>863</v>
      </c>
      <c r="O509" s="3">
        <f t="shared" si="14"/>
        <v>66967074</v>
      </c>
      <c r="P509" s="3">
        <f t="shared" si="15"/>
        <v>66483471</v>
      </c>
    </row>
    <row r="510" spans="1:16">
      <c r="A510">
        <v>2018</v>
      </c>
      <c r="B510" t="s">
        <v>47</v>
      </c>
      <c r="C510" t="s">
        <v>40</v>
      </c>
      <c r="D510" t="s">
        <v>30</v>
      </c>
      <c r="E510" t="s">
        <v>23</v>
      </c>
      <c r="F510" t="s">
        <v>24</v>
      </c>
      <c r="G510" s="3">
        <v>94199</v>
      </c>
      <c r="H510" s="3">
        <v>196895</v>
      </c>
      <c r="I510">
        <v>92</v>
      </c>
      <c r="J510" s="3">
        <v>0.97</v>
      </c>
      <c r="K510">
        <v>6.29</v>
      </c>
      <c r="L510">
        <v>1.2</v>
      </c>
      <c r="M510">
        <v>10</v>
      </c>
      <c r="N510">
        <v>512</v>
      </c>
      <c r="O510" s="3">
        <f t="shared" si="14"/>
        <v>48229888</v>
      </c>
      <c r="P510" s="3">
        <f t="shared" si="15"/>
        <v>48032993</v>
      </c>
    </row>
    <row r="511" spans="1:16">
      <c r="A511">
        <v>2023</v>
      </c>
      <c r="B511" t="s">
        <v>53</v>
      </c>
      <c r="C511" t="s">
        <v>38</v>
      </c>
      <c r="D511" t="s">
        <v>30</v>
      </c>
      <c r="E511" t="s">
        <v>23</v>
      </c>
      <c r="F511" t="s">
        <v>28</v>
      </c>
      <c r="G511" s="3">
        <v>48798</v>
      </c>
      <c r="H511" s="3">
        <v>96015</v>
      </c>
      <c r="I511">
        <v>393</v>
      </c>
      <c r="J511" s="3">
        <v>0.97</v>
      </c>
      <c r="K511">
        <v>6.29</v>
      </c>
      <c r="L511">
        <v>1.2</v>
      </c>
      <c r="M511">
        <v>10</v>
      </c>
      <c r="N511">
        <v>1153</v>
      </c>
      <c r="O511" s="3">
        <f t="shared" si="14"/>
        <v>56264094</v>
      </c>
      <c r="P511" s="3">
        <f t="shared" si="15"/>
        <v>56168079</v>
      </c>
    </row>
    <row r="512" spans="1:16">
      <c r="A512">
        <v>2017</v>
      </c>
      <c r="B512" t="s">
        <v>25</v>
      </c>
      <c r="C512" t="s">
        <v>26</v>
      </c>
      <c r="D512" t="s">
        <v>42</v>
      </c>
      <c r="E512" t="s">
        <v>19</v>
      </c>
      <c r="F512" t="s">
        <v>20</v>
      </c>
      <c r="G512" s="3">
        <v>100364</v>
      </c>
      <c r="H512" s="3">
        <v>152877</v>
      </c>
      <c r="I512">
        <v>179</v>
      </c>
      <c r="J512" s="3">
        <v>0.97</v>
      </c>
      <c r="K512">
        <v>6.29</v>
      </c>
      <c r="L512">
        <v>1.2</v>
      </c>
      <c r="M512">
        <v>6</v>
      </c>
      <c r="N512">
        <v>639</v>
      </c>
      <c r="O512" s="3">
        <f t="shared" si="14"/>
        <v>64132596</v>
      </c>
      <c r="P512" s="3">
        <f t="shared" si="15"/>
        <v>63979719</v>
      </c>
    </row>
    <row r="513" spans="1:16">
      <c r="A513">
        <v>2023</v>
      </c>
      <c r="B513" t="s">
        <v>43</v>
      </c>
      <c r="C513" t="s">
        <v>17</v>
      </c>
      <c r="D513" t="s">
        <v>18</v>
      </c>
      <c r="E513" t="s">
        <v>19</v>
      </c>
      <c r="F513" t="s">
        <v>33</v>
      </c>
      <c r="G513" s="3">
        <v>52558</v>
      </c>
      <c r="H513" s="3">
        <v>327483</v>
      </c>
      <c r="I513">
        <v>176</v>
      </c>
      <c r="J513" s="3">
        <v>0.97</v>
      </c>
      <c r="K513">
        <v>6.29</v>
      </c>
      <c r="L513">
        <v>1.2</v>
      </c>
      <c r="M513">
        <v>4</v>
      </c>
      <c r="N513">
        <v>545</v>
      </c>
      <c r="O513" s="3">
        <f t="shared" si="14"/>
        <v>28644110</v>
      </c>
      <c r="P513" s="3">
        <f t="shared" si="15"/>
        <v>28316627</v>
      </c>
    </row>
    <row r="514" spans="1:16">
      <c r="A514">
        <v>2021</v>
      </c>
      <c r="B514" t="s">
        <v>47</v>
      </c>
      <c r="C514" t="s">
        <v>40</v>
      </c>
      <c r="D514" t="s">
        <v>41</v>
      </c>
      <c r="E514" t="s">
        <v>23</v>
      </c>
      <c r="F514" t="s">
        <v>33</v>
      </c>
      <c r="G514" s="3">
        <v>96084</v>
      </c>
      <c r="H514" s="3">
        <v>184563</v>
      </c>
      <c r="I514">
        <v>197</v>
      </c>
      <c r="J514" s="3">
        <v>0.97</v>
      </c>
      <c r="K514">
        <v>6.29</v>
      </c>
      <c r="L514">
        <v>1.2</v>
      </c>
      <c r="M514">
        <v>8</v>
      </c>
      <c r="N514">
        <v>430</v>
      </c>
      <c r="O514" s="3">
        <f t="shared" si="14"/>
        <v>41316120</v>
      </c>
      <c r="P514" s="3">
        <f t="shared" si="15"/>
        <v>41131557</v>
      </c>
    </row>
    <row r="515" spans="1:16">
      <c r="A515">
        <v>2018</v>
      </c>
      <c r="B515" t="s">
        <v>21</v>
      </c>
      <c r="C515" t="s">
        <v>38</v>
      </c>
      <c r="D515" t="s">
        <v>41</v>
      </c>
      <c r="E515" t="s">
        <v>23</v>
      </c>
      <c r="F515" t="s">
        <v>33</v>
      </c>
      <c r="G515" s="3">
        <v>79237</v>
      </c>
      <c r="H515" s="3">
        <v>443922</v>
      </c>
      <c r="I515">
        <v>178</v>
      </c>
      <c r="J515" s="3">
        <v>0.97</v>
      </c>
      <c r="K515">
        <v>6.29</v>
      </c>
      <c r="L515">
        <v>1.2</v>
      </c>
      <c r="M515">
        <v>7</v>
      </c>
      <c r="N515">
        <v>807</v>
      </c>
      <c r="O515" s="3">
        <f t="shared" ref="O515:O578" si="16">N515*G515</f>
        <v>63944259</v>
      </c>
      <c r="P515" s="3">
        <f t="shared" ref="P515:P578" si="17">O515-H515</f>
        <v>63500337</v>
      </c>
    </row>
    <row r="516" spans="1:16">
      <c r="A516">
        <v>2017</v>
      </c>
      <c r="B516" t="s">
        <v>47</v>
      </c>
      <c r="C516" t="s">
        <v>44</v>
      </c>
      <c r="D516" t="s">
        <v>42</v>
      </c>
      <c r="E516" t="s">
        <v>19</v>
      </c>
      <c r="F516" t="s">
        <v>20</v>
      </c>
      <c r="G516" s="3">
        <v>100497</v>
      </c>
      <c r="H516" s="3">
        <v>147493</v>
      </c>
      <c r="I516">
        <v>298</v>
      </c>
      <c r="J516" s="3">
        <v>0.97</v>
      </c>
      <c r="K516">
        <v>6.29</v>
      </c>
      <c r="L516">
        <v>1.2</v>
      </c>
      <c r="M516">
        <v>7</v>
      </c>
      <c r="N516">
        <v>622</v>
      </c>
      <c r="O516" s="3">
        <f t="shared" si="16"/>
        <v>62509134</v>
      </c>
      <c r="P516" s="3">
        <f t="shared" si="17"/>
        <v>62361641</v>
      </c>
    </row>
    <row r="517" spans="1:16">
      <c r="A517">
        <v>2024</v>
      </c>
      <c r="B517" t="s">
        <v>37</v>
      </c>
      <c r="C517" t="s">
        <v>51</v>
      </c>
      <c r="D517" t="s">
        <v>52</v>
      </c>
      <c r="E517" t="s">
        <v>19</v>
      </c>
      <c r="F517" t="s">
        <v>33</v>
      </c>
      <c r="G517" s="3">
        <v>35178</v>
      </c>
      <c r="H517" s="3">
        <v>196800</v>
      </c>
      <c r="I517">
        <v>238</v>
      </c>
      <c r="J517" s="3">
        <v>0.97</v>
      </c>
      <c r="K517">
        <v>6.29</v>
      </c>
      <c r="L517">
        <v>1.2</v>
      </c>
      <c r="M517">
        <v>10</v>
      </c>
      <c r="N517">
        <v>805</v>
      </c>
      <c r="O517" s="3">
        <f t="shared" si="16"/>
        <v>28318290</v>
      </c>
      <c r="P517" s="3">
        <f t="shared" si="17"/>
        <v>28121490</v>
      </c>
    </row>
    <row r="518" spans="1:16">
      <c r="A518">
        <v>2019</v>
      </c>
      <c r="B518" t="s">
        <v>29</v>
      </c>
      <c r="C518" t="s">
        <v>51</v>
      </c>
      <c r="D518" t="s">
        <v>39</v>
      </c>
      <c r="E518" t="s">
        <v>23</v>
      </c>
      <c r="F518" t="s">
        <v>33</v>
      </c>
      <c r="G518" s="3">
        <v>52118</v>
      </c>
      <c r="H518" s="3">
        <v>450213</v>
      </c>
      <c r="I518">
        <v>106</v>
      </c>
      <c r="J518" s="3">
        <v>0.97</v>
      </c>
      <c r="K518">
        <v>6.29</v>
      </c>
      <c r="L518">
        <v>1.2</v>
      </c>
      <c r="M518">
        <v>9</v>
      </c>
      <c r="N518">
        <v>667</v>
      </c>
      <c r="O518" s="3">
        <f t="shared" si="16"/>
        <v>34762706</v>
      </c>
      <c r="P518" s="3">
        <f t="shared" si="17"/>
        <v>34312493</v>
      </c>
    </row>
    <row r="519" spans="1:16">
      <c r="A519">
        <v>2019</v>
      </c>
      <c r="B519" t="s">
        <v>29</v>
      </c>
      <c r="C519" t="s">
        <v>26</v>
      </c>
      <c r="D519" t="s">
        <v>42</v>
      </c>
      <c r="E519" t="s">
        <v>19</v>
      </c>
      <c r="F519" t="s">
        <v>33</v>
      </c>
      <c r="G519" s="3">
        <v>57616</v>
      </c>
      <c r="H519" s="3">
        <v>241480</v>
      </c>
      <c r="I519">
        <v>376</v>
      </c>
      <c r="J519" s="3">
        <v>0.97</v>
      </c>
      <c r="K519">
        <v>6.29</v>
      </c>
      <c r="L519">
        <v>1.2</v>
      </c>
      <c r="M519">
        <v>5</v>
      </c>
      <c r="N519">
        <v>1202</v>
      </c>
      <c r="O519" s="3">
        <f t="shared" si="16"/>
        <v>69254432</v>
      </c>
      <c r="P519" s="3">
        <f t="shared" si="17"/>
        <v>69012952</v>
      </c>
    </row>
    <row r="520" spans="1:16">
      <c r="A520">
        <v>2017</v>
      </c>
      <c r="B520" t="s">
        <v>53</v>
      </c>
      <c r="C520" t="s">
        <v>31</v>
      </c>
      <c r="D520" t="s">
        <v>32</v>
      </c>
      <c r="E520" t="s">
        <v>19</v>
      </c>
      <c r="F520" t="s">
        <v>28</v>
      </c>
      <c r="G520" s="3">
        <v>35798</v>
      </c>
      <c r="H520" s="3">
        <v>441670</v>
      </c>
      <c r="I520">
        <v>25</v>
      </c>
      <c r="J520" s="3">
        <v>0.97</v>
      </c>
      <c r="K520">
        <v>6.29</v>
      </c>
      <c r="L520">
        <v>1.2</v>
      </c>
      <c r="M520">
        <v>6</v>
      </c>
      <c r="N520">
        <v>151</v>
      </c>
      <c r="O520" s="3">
        <f t="shared" si="16"/>
        <v>5405498</v>
      </c>
      <c r="P520" s="3">
        <f t="shared" si="17"/>
        <v>4963828</v>
      </c>
    </row>
    <row r="521" spans="1:16">
      <c r="A521">
        <v>2023</v>
      </c>
      <c r="B521" t="s">
        <v>21</v>
      </c>
      <c r="C521" t="s">
        <v>45</v>
      </c>
      <c r="D521" t="s">
        <v>36</v>
      </c>
      <c r="E521" t="s">
        <v>19</v>
      </c>
      <c r="F521" t="s">
        <v>28</v>
      </c>
      <c r="G521" s="3">
        <v>42601</v>
      </c>
      <c r="H521" s="3">
        <v>481739</v>
      </c>
      <c r="I521">
        <v>288</v>
      </c>
      <c r="J521" s="3">
        <v>0.97</v>
      </c>
      <c r="K521">
        <v>6.29</v>
      </c>
      <c r="L521">
        <v>1.2</v>
      </c>
      <c r="M521">
        <v>1</v>
      </c>
      <c r="N521">
        <v>711</v>
      </c>
      <c r="O521" s="3">
        <f t="shared" si="16"/>
        <v>30289311</v>
      </c>
      <c r="P521" s="3">
        <f t="shared" si="17"/>
        <v>29807572</v>
      </c>
    </row>
    <row r="522" spans="1:16">
      <c r="A522">
        <v>2018</v>
      </c>
      <c r="B522" t="s">
        <v>25</v>
      </c>
      <c r="C522" t="s">
        <v>40</v>
      </c>
      <c r="D522" t="s">
        <v>30</v>
      </c>
      <c r="E522" t="s">
        <v>23</v>
      </c>
      <c r="F522" t="s">
        <v>20</v>
      </c>
      <c r="G522" s="3">
        <v>60363</v>
      </c>
      <c r="H522" s="3">
        <v>171648</v>
      </c>
      <c r="I522">
        <v>144</v>
      </c>
      <c r="J522" s="3">
        <v>0.97</v>
      </c>
      <c r="K522">
        <v>6.29</v>
      </c>
      <c r="L522">
        <v>1.2</v>
      </c>
      <c r="M522">
        <v>6</v>
      </c>
      <c r="N522">
        <v>561</v>
      </c>
      <c r="O522" s="3">
        <f t="shared" si="16"/>
        <v>33863643</v>
      </c>
      <c r="P522" s="3">
        <f t="shared" si="17"/>
        <v>33691995</v>
      </c>
    </row>
    <row r="523" spans="1:16">
      <c r="A523">
        <v>2019</v>
      </c>
      <c r="B523" t="s">
        <v>48</v>
      </c>
      <c r="C523" t="s">
        <v>40</v>
      </c>
      <c r="D523" t="s">
        <v>41</v>
      </c>
      <c r="E523" t="s">
        <v>23</v>
      </c>
      <c r="F523" t="s">
        <v>20</v>
      </c>
      <c r="G523" s="3">
        <v>37795</v>
      </c>
      <c r="H523" s="3">
        <v>337307</v>
      </c>
      <c r="I523">
        <v>35</v>
      </c>
      <c r="J523" s="3">
        <v>0.97</v>
      </c>
      <c r="K523">
        <v>6.29</v>
      </c>
      <c r="L523">
        <v>1.2</v>
      </c>
      <c r="M523">
        <v>2</v>
      </c>
      <c r="N523">
        <v>192</v>
      </c>
      <c r="O523" s="3">
        <f t="shared" si="16"/>
        <v>7256640</v>
      </c>
      <c r="P523" s="3">
        <f t="shared" si="17"/>
        <v>6919333</v>
      </c>
    </row>
    <row r="524" spans="1:16">
      <c r="A524">
        <v>2018</v>
      </c>
      <c r="B524" t="s">
        <v>21</v>
      </c>
      <c r="C524" t="s">
        <v>17</v>
      </c>
      <c r="D524" t="s">
        <v>27</v>
      </c>
      <c r="E524" t="s">
        <v>23</v>
      </c>
      <c r="F524" t="s">
        <v>33</v>
      </c>
      <c r="G524" s="3">
        <v>80264</v>
      </c>
      <c r="H524" s="3">
        <v>198790</v>
      </c>
      <c r="I524">
        <v>361</v>
      </c>
      <c r="J524" s="3">
        <v>0.97</v>
      </c>
      <c r="K524">
        <v>6.29</v>
      </c>
      <c r="L524">
        <v>1.2</v>
      </c>
      <c r="M524">
        <v>6</v>
      </c>
      <c r="N524">
        <v>936</v>
      </c>
      <c r="O524" s="3">
        <f t="shared" si="16"/>
        <v>75127104</v>
      </c>
      <c r="P524" s="3">
        <f t="shared" si="17"/>
        <v>74928314</v>
      </c>
    </row>
    <row r="525" spans="1:16">
      <c r="A525">
        <v>2019</v>
      </c>
      <c r="B525" t="s">
        <v>29</v>
      </c>
      <c r="C525" t="s">
        <v>17</v>
      </c>
      <c r="D525" t="s">
        <v>41</v>
      </c>
      <c r="E525" t="s">
        <v>23</v>
      </c>
      <c r="F525" t="s">
        <v>28</v>
      </c>
      <c r="G525" s="3">
        <v>107833</v>
      </c>
      <c r="H525" s="3">
        <v>137508</v>
      </c>
      <c r="I525">
        <v>21</v>
      </c>
      <c r="J525" s="3">
        <v>0.97</v>
      </c>
      <c r="K525">
        <v>6.29</v>
      </c>
      <c r="L525">
        <v>1.2</v>
      </c>
      <c r="M525">
        <v>9</v>
      </c>
      <c r="N525">
        <v>395</v>
      </c>
      <c r="O525" s="3">
        <f t="shared" si="16"/>
        <v>42594035</v>
      </c>
      <c r="P525" s="3">
        <f t="shared" si="17"/>
        <v>42456527</v>
      </c>
    </row>
    <row r="526" spans="1:16">
      <c r="A526">
        <v>2021</v>
      </c>
      <c r="B526" t="s">
        <v>37</v>
      </c>
      <c r="C526" t="s">
        <v>51</v>
      </c>
      <c r="D526" t="s">
        <v>30</v>
      </c>
      <c r="E526" t="s">
        <v>23</v>
      </c>
      <c r="F526" t="s">
        <v>24</v>
      </c>
      <c r="G526" s="3">
        <v>38084</v>
      </c>
      <c r="H526" s="3">
        <v>264839</v>
      </c>
      <c r="I526">
        <v>81</v>
      </c>
      <c r="J526" s="3">
        <v>0.97</v>
      </c>
      <c r="K526">
        <v>6.29</v>
      </c>
      <c r="L526">
        <v>1.2</v>
      </c>
      <c r="M526">
        <v>8</v>
      </c>
      <c r="N526">
        <v>267</v>
      </c>
      <c r="O526" s="3">
        <f t="shared" si="16"/>
        <v>10168428</v>
      </c>
      <c r="P526" s="3">
        <f t="shared" si="17"/>
        <v>9903589</v>
      </c>
    </row>
    <row r="527" spans="1:16">
      <c r="A527">
        <v>2023</v>
      </c>
      <c r="B527" t="s">
        <v>43</v>
      </c>
      <c r="C527" t="s">
        <v>51</v>
      </c>
      <c r="D527" t="s">
        <v>36</v>
      </c>
      <c r="E527" t="s">
        <v>19</v>
      </c>
      <c r="F527" t="s">
        <v>24</v>
      </c>
      <c r="G527" s="3">
        <v>111646</v>
      </c>
      <c r="H527" s="3">
        <v>351763</v>
      </c>
      <c r="I527">
        <v>142</v>
      </c>
      <c r="J527" s="3">
        <v>0.97</v>
      </c>
      <c r="K527">
        <v>6.29</v>
      </c>
      <c r="L527">
        <v>1.2</v>
      </c>
      <c r="M527">
        <v>9</v>
      </c>
      <c r="N527">
        <v>716</v>
      </c>
      <c r="O527" s="3">
        <f t="shared" si="16"/>
        <v>79938536</v>
      </c>
      <c r="P527" s="3">
        <f t="shared" si="17"/>
        <v>79586773</v>
      </c>
    </row>
    <row r="528" spans="1:16">
      <c r="A528">
        <v>2021</v>
      </c>
      <c r="B528" t="s">
        <v>53</v>
      </c>
      <c r="C528" t="s">
        <v>46</v>
      </c>
      <c r="D528" t="s">
        <v>30</v>
      </c>
      <c r="E528" t="s">
        <v>23</v>
      </c>
      <c r="F528" t="s">
        <v>33</v>
      </c>
      <c r="G528" s="3">
        <v>35731</v>
      </c>
      <c r="H528" s="3">
        <v>324270</v>
      </c>
      <c r="I528">
        <v>115</v>
      </c>
      <c r="J528" s="3">
        <v>0.97</v>
      </c>
      <c r="K528">
        <v>6.29</v>
      </c>
      <c r="L528">
        <v>1.2</v>
      </c>
      <c r="M528">
        <v>10</v>
      </c>
      <c r="N528">
        <v>524</v>
      </c>
      <c r="O528" s="3">
        <f t="shared" si="16"/>
        <v>18723044</v>
      </c>
      <c r="P528" s="3">
        <f t="shared" si="17"/>
        <v>18398774</v>
      </c>
    </row>
    <row r="529" spans="1:16">
      <c r="A529">
        <v>2019</v>
      </c>
      <c r="B529" t="s">
        <v>48</v>
      </c>
      <c r="C529" t="s">
        <v>46</v>
      </c>
      <c r="D529" t="s">
        <v>27</v>
      </c>
      <c r="E529" t="s">
        <v>23</v>
      </c>
      <c r="F529" t="s">
        <v>33</v>
      </c>
      <c r="G529" s="3">
        <v>36129</v>
      </c>
      <c r="H529" s="3">
        <v>114926</v>
      </c>
      <c r="I529">
        <v>229</v>
      </c>
      <c r="J529" s="3">
        <v>0.97</v>
      </c>
      <c r="K529">
        <v>6.29</v>
      </c>
      <c r="L529">
        <v>1.2</v>
      </c>
      <c r="M529">
        <v>8</v>
      </c>
      <c r="N529">
        <v>717</v>
      </c>
      <c r="O529" s="3">
        <f t="shared" si="16"/>
        <v>25904493</v>
      </c>
      <c r="P529" s="3">
        <f t="shared" si="17"/>
        <v>25789567</v>
      </c>
    </row>
    <row r="530" spans="1:16">
      <c r="A530">
        <v>2024</v>
      </c>
      <c r="B530" t="s">
        <v>37</v>
      </c>
      <c r="C530" t="s">
        <v>31</v>
      </c>
      <c r="D530" t="s">
        <v>42</v>
      </c>
      <c r="E530" t="s">
        <v>19</v>
      </c>
      <c r="F530" t="s">
        <v>28</v>
      </c>
      <c r="G530" s="3">
        <v>63022</v>
      </c>
      <c r="H530" s="3">
        <v>90633</v>
      </c>
      <c r="I530">
        <v>382</v>
      </c>
      <c r="J530" s="3">
        <v>0.97</v>
      </c>
      <c r="K530">
        <v>6.29</v>
      </c>
      <c r="L530">
        <v>1.2</v>
      </c>
      <c r="M530">
        <v>3</v>
      </c>
      <c r="N530">
        <v>935</v>
      </c>
      <c r="O530" s="3">
        <f t="shared" si="16"/>
        <v>58925570</v>
      </c>
      <c r="P530" s="3">
        <f t="shared" si="17"/>
        <v>58834937</v>
      </c>
    </row>
    <row r="531" spans="1:16">
      <c r="A531">
        <v>2024</v>
      </c>
      <c r="B531" t="s">
        <v>25</v>
      </c>
      <c r="C531" t="s">
        <v>46</v>
      </c>
      <c r="D531" t="s">
        <v>18</v>
      </c>
      <c r="E531" t="s">
        <v>19</v>
      </c>
      <c r="F531" t="s">
        <v>28</v>
      </c>
      <c r="G531" s="3">
        <v>36605</v>
      </c>
      <c r="H531" s="3">
        <v>258726</v>
      </c>
      <c r="I531">
        <v>186</v>
      </c>
      <c r="J531" s="3">
        <v>0.97</v>
      </c>
      <c r="K531">
        <v>6.29</v>
      </c>
      <c r="L531">
        <v>1.2</v>
      </c>
      <c r="M531">
        <v>8</v>
      </c>
      <c r="N531">
        <v>622</v>
      </c>
      <c r="O531" s="3">
        <f t="shared" si="16"/>
        <v>22768310</v>
      </c>
      <c r="P531" s="3">
        <f t="shared" si="17"/>
        <v>22509584</v>
      </c>
    </row>
    <row r="532" spans="1:16">
      <c r="A532">
        <v>2021</v>
      </c>
      <c r="B532" t="s">
        <v>25</v>
      </c>
      <c r="C532" t="s">
        <v>45</v>
      </c>
      <c r="D532" t="s">
        <v>27</v>
      </c>
      <c r="E532" t="s">
        <v>23</v>
      </c>
      <c r="F532" t="s">
        <v>28</v>
      </c>
      <c r="G532" s="3">
        <v>112506</v>
      </c>
      <c r="H532" s="3">
        <v>53317</v>
      </c>
      <c r="I532">
        <v>291</v>
      </c>
      <c r="J532" s="3">
        <v>0.97</v>
      </c>
      <c r="K532">
        <v>6.29</v>
      </c>
      <c r="L532">
        <v>1.2</v>
      </c>
      <c r="M532">
        <v>6</v>
      </c>
      <c r="N532">
        <v>681</v>
      </c>
      <c r="O532" s="3">
        <f t="shared" si="16"/>
        <v>76616586</v>
      </c>
      <c r="P532" s="3">
        <f t="shared" si="17"/>
        <v>76563269</v>
      </c>
    </row>
    <row r="533" spans="1:16">
      <c r="A533">
        <v>2024</v>
      </c>
      <c r="B533" t="s">
        <v>37</v>
      </c>
      <c r="C533" t="s">
        <v>45</v>
      </c>
      <c r="D533" t="s">
        <v>30</v>
      </c>
      <c r="E533" t="s">
        <v>23</v>
      </c>
      <c r="F533" t="s">
        <v>20</v>
      </c>
      <c r="G533" s="3">
        <v>79130</v>
      </c>
      <c r="H533" s="3">
        <v>357124</v>
      </c>
      <c r="I533">
        <v>142</v>
      </c>
      <c r="J533" s="3">
        <v>0.97</v>
      </c>
      <c r="K533">
        <v>6.29</v>
      </c>
      <c r="L533">
        <v>1.2</v>
      </c>
      <c r="M533">
        <v>6</v>
      </c>
      <c r="N533">
        <v>348</v>
      </c>
      <c r="O533" s="3">
        <f t="shared" si="16"/>
        <v>27537240</v>
      </c>
      <c r="P533" s="3">
        <f t="shared" si="17"/>
        <v>27180116</v>
      </c>
    </row>
    <row r="534" spans="1:16">
      <c r="A534">
        <v>2019</v>
      </c>
      <c r="B534" t="s">
        <v>16</v>
      </c>
      <c r="C534" t="s">
        <v>40</v>
      </c>
      <c r="D534" t="s">
        <v>30</v>
      </c>
      <c r="E534" t="s">
        <v>23</v>
      </c>
      <c r="F534" t="s">
        <v>20</v>
      </c>
      <c r="G534" s="3">
        <v>64265</v>
      </c>
      <c r="H534" s="3">
        <v>356259</v>
      </c>
      <c r="I534">
        <v>31</v>
      </c>
      <c r="J534" s="3">
        <v>0.97</v>
      </c>
      <c r="K534">
        <v>6.29</v>
      </c>
      <c r="L534">
        <v>1.2</v>
      </c>
      <c r="M534">
        <v>6</v>
      </c>
      <c r="N534">
        <v>231</v>
      </c>
      <c r="O534" s="3">
        <f t="shared" si="16"/>
        <v>14845215</v>
      </c>
      <c r="P534" s="3">
        <f t="shared" si="17"/>
        <v>14488956</v>
      </c>
    </row>
    <row r="535" spans="1:16">
      <c r="A535">
        <v>2017</v>
      </c>
      <c r="B535" t="s">
        <v>53</v>
      </c>
      <c r="C535" t="s">
        <v>34</v>
      </c>
      <c r="D535" t="s">
        <v>32</v>
      </c>
      <c r="E535" t="s">
        <v>19</v>
      </c>
      <c r="F535" t="s">
        <v>33</v>
      </c>
      <c r="G535" s="3">
        <v>67330</v>
      </c>
      <c r="H535" s="3">
        <v>242718</v>
      </c>
      <c r="I535">
        <v>278</v>
      </c>
      <c r="J535" s="3">
        <v>0.97</v>
      </c>
      <c r="K535">
        <v>6.29</v>
      </c>
      <c r="L535">
        <v>1.2</v>
      </c>
      <c r="M535">
        <v>3</v>
      </c>
      <c r="N535">
        <v>896</v>
      </c>
      <c r="O535" s="3">
        <f t="shared" si="16"/>
        <v>60327680</v>
      </c>
      <c r="P535" s="3">
        <f t="shared" si="17"/>
        <v>60084962</v>
      </c>
    </row>
    <row r="536" spans="1:16">
      <c r="A536">
        <v>2021</v>
      </c>
      <c r="B536" t="s">
        <v>21</v>
      </c>
      <c r="C536" t="s">
        <v>45</v>
      </c>
      <c r="D536" t="s">
        <v>32</v>
      </c>
      <c r="E536" t="s">
        <v>19</v>
      </c>
      <c r="F536" t="s">
        <v>20</v>
      </c>
      <c r="G536" s="3">
        <v>103469</v>
      </c>
      <c r="H536" s="3">
        <v>355302</v>
      </c>
      <c r="I536">
        <v>170</v>
      </c>
      <c r="J536" s="3">
        <v>0.97</v>
      </c>
      <c r="K536">
        <v>6.29</v>
      </c>
      <c r="L536">
        <v>1.2</v>
      </c>
      <c r="M536">
        <v>10</v>
      </c>
      <c r="N536">
        <v>735</v>
      </c>
      <c r="O536" s="3">
        <f t="shared" si="16"/>
        <v>76049715</v>
      </c>
      <c r="P536" s="3">
        <f t="shared" si="17"/>
        <v>75694413</v>
      </c>
    </row>
    <row r="537" spans="1:16">
      <c r="A537">
        <v>2016</v>
      </c>
      <c r="B537" t="s">
        <v>49</v>
      </c>
      <c r="C537" t="s">
        <v>38</v>
      </c>
      <c r="D537" t="s">
        <v>22</v>
      </c>
      <c r="E537" t="s">
        <v>23</v>
      </c>
      <c r="F537" t="s">
        <v>28</v>
      </c>
      <c r="G537" s="3">
        <v>50187</v>
      </c>
      <c r="H537" s="3">
        <v>237035</v>
      </c>
      <c r="I537">
        <v>116</v>
      </c>
      <c r="J537" s="3">
        <v>0.97</v>
      </c>
      <c r="K537">
        <v>6.29</v>
      </c>
      <c r="L537">
        <v>1.2</v>
      </c>
      <c r="M537">
        <v>1</v>
      </c>
      <c r="N537">
        <v>708</v>
      </c>
      <c r="O537" s="3">
        <f t="shared" si="16"/>
        <v>35532396</v>
      </c>
      <c r="P537" s="3">
        <f t="shared" si="17"/>
        <v>35295361</v>
      </c>
    </row>
    <row r="538" spans="1:16">
      <c r="A538">
        <v>2023</v>
      </c>
      <c r="B538" t="s">
        <v>43</v>
      </c>
      <c r="C538" t="s">
        <v>51</v>
      </c>
      <c r="D538" t="s">
        <v>32</v>
      </c>
      <c r="E538" t="s">
        <v>19</v>
      </c>
      <c r="F538" t="s">
        <v>28</v>
      </c>
      <c r="G538" s="3">
        <v>60791</v>
      </c>
      <c r="H538" s="3">
        <v>490847</v>
      </c>
      <c r="I538">
        <v>288</v>
      </c>
      <c r="J538" s="3">
        <v>0.97</v>
      </c>
      <c r="K538">
        <v>6.29</v>
      </c>
      <c r="L538">
        <v>1.2</v>
      </c>
      <c r="M538">
        <v>4</v>
      </c>
      <c r="N538">
        <v>625</v>
      </c>
      <c r="O538" s="3">
        <f t="shared" si="16"/>
        <v>37994375</v>
      </c>
      <c r="P538" s="3">
        <f t="shared" si="17"/>
        <v>37503528</v>
      </c>
    </row>
    <row r="539" spans="1:16">
      <c r="A539">
        <v>2024</v>
      </c>
      <c r="B539" t="s">
        <v>49</v>
      </c>
      <c r="C539" t="s">
        <v>17</v>
      </c>
      <c r="D539" t="s">
        <v>39</v>
      </c>
      <c r="E539" t="s">
        <v>23</v>
      </c>
      <c r="F539" t="s">
        <v>20</v>
      </c>
      <c r="G539" s="3">
        <v>105610</v>
      </c>
      <c r="H539" s="3">
        <v>230388</v>
      </c>
      <c r="I539">
        <v>362</v>
      </c>
      <c r="J539" s="3">
        <v>0.97</v>
      </c>
      <c r="K539">
        <v>6.29</v>
      </c>
      <c r="L539">
        <v>1.2</v>
      </c>
      <c r="M539">
        <v>10</v>
      </c>
      <c r="N539">
        <v>1022</v>
      </c>
      <c r="O539" s="3">
        <f t="shared" si="16"/>
        <v>107933420</v>
      </c>
      <c r="P539" s="3">
        <f t="shared" si="17"/>
        <v>107703032</v>
      </c>
    </row>
    <row r="540" spans="1:16">
      <c r="A540">
        <v>2024</v>
      </c>
      <c r="B540" t="s">
        <v>21</v>
      </c>
      <c r="C540" t="s">
        <v>46</v>
      </c>
      <c r="D540" t="s">
        <v>18</v>
      </c>
      <c r="E540" t="s">
        <v>19</v>
      </c>
      <c r="F540" t="s">
        <v>24</v>
      </c>
      <c r="G540" s="3">
        <v>74867</v>
      </c>
      <c r="H540" s="3">
        <v>417508</v>
      </c>
      <c r="I540">
        <v>244</v>
      </c>
      <c r="J540" s="3">
        <v>0.97</v>
      </c>
      <c r="K540">
        <v>6.29</v>
      </c>
      <c r="L540">
        <v>1.2</v>
      </c>
      <c r="M540">
        <v>6</v>
      </c>
      <c r="N540">
        <v>951</v>
      </c>
      <c r="O540" s="3">
        <f t="shared" si="16"/>
        <v>71198517</v>
      </c>
      <c r="P540" s="3">
        <f t="shared" si="17"/>
        <v>70781009</v>
      </c>
    </row>
    <row r="541" spans="1:16">
      <c r="A541">
        <v>2015</v>
      </c>
      <c r="B541" t="s">
        <v>21</v>
      </c>
      <c r="C541" t="s">
        <v>40</v>
      </c>
      <c r="D541" t="s">
        <v>36</v>
      </c>
      <c r="E541" t="s">
        <v>19</v>
      </c>
      <c r="F541" t="s">
        <v>33</v>
      </c>
      <c r="G541" s="3">
        <v>35893</v>
      </c>
      <c r="H541" s="3">
        <v>327648</v>
      </c>
      <c r="I541">
        <v>27</v>
      </c>
      <c r="J541" s="3">
        <v>0.97</v>
      </c>
      <c r="K541">
        <v>6.29</v>
      </c>
      <c r="L541">
        <v>1.2</v>
      </c>
      <c r="M541">
        <v>10</v>
      </c>
      <c r="N541">
        <v>212</v>
      </c>
      <c r="O541" s="3">
        <f t="shared" si="16"/>
        <v>7609316</v>
      </c>
      <c r="P541" s="3">
        <f t="shared" si="17"/>
        <v>7281668</v>
      </c>
    </row>
    <row r="542" spans="1:16">
      <c r="A542">
        <v>2020</v>
      </c>
      <c r="B542" t="s">
        <v>53</v>
      </c>
      <c r="C542" t="s">
        <v>26</v>
      </c>
      <c r="D542" t="s">
        <v>27</v>
      </c>
      <c r="E542" t="s">
        <v>23</v>
      </c>
      <c r="F542" t="s">
        <v>24</v>
      </c>
      <c r="G542" s="3">
        <v>54773</v>
      </c>
      <c r="H542" s="3">
        <v>249665</v>
      </c>
      <c r="I542">
        <v>251</v>
      </c>
      <c r="J542" s="3">
        <v>0.97</v>
      </c>
      <c r="K542">
        <v>6.29</v>
      </c>
      <c r="L542">
        <v>1.2</v>
      </c>
      <c r="M542">
        <v>2</v>
      </c>
      <c r="N542">
        <v>982</v>
      </c>
      <c r="O542" s="3">
        <f t="shared" si="16"/>
        <v>53787086</v>
      </c>
      <c r="P542" s="3">
        <f t="shared" si="17"/>
        <v>53537421</v>
      </c>
    </row>
    <row r="543" spans="1:16">
      <c r="A543">
        <v>2021</v>
      </c>
      <c r="B543" t="s">
        <v>21</v>
      </c>
      <c r="C543" t="s">
        <v>17</v>
      </c>
      <c r="D543" t="s">
        <v>30</v>
      </c>
      <c r="E543" t="s">
        <v>23</v>
      </c>
      <c r="F543" t="s">
        <v>33</v>
      </c>
      <c r="G543" s="3">
        <v>39239</v>
      </c>
      <c r="H543" s="3">
        <v>469876</v>
      </c>
      <c r="I543">
        <v>126</v>
      </c>
      <c r="J543" s="3">
        <v>0.97</v>
      </c>
      <c r="K543">
        <v>6.29</v>
      </c>
      <c r="L543">
        <v>1.2</v>
      </c>
      <c r="M543">
        <v>7</v>
      </c>
      <c r="N543">
        <v>659</v>
      </c>
      <c r="O543" s="3">
        <f t="shared" si="16"/>
        <v>25858501</v>
      </c>
      <c r="P543" s="3">
        <f t="shared" si="17"/>
        <v>25388625</v>
      </c>
    </row>
    <row r="544" spans="1:16">
      <c r="A544">
        <v>2022</v>
      </c>
      <c r="B544" t="s">
        <v>29</v>
      </c>
      <c r="C544" t="s">
        <v>38</v>
      </c>
      <c r="D544" t="s">
        <v>22</v>
      </c>
      <c r="E544" t="s">
        <v>23</v>
      </c>
      <c r="F544" t="s">
        <v>24</v>
      </c>
      <c r="G544" s="3">
        <v>55863</v>
      </c>
      <c r="H544" s="3">
        <v>349340</v>
      </c>
      <c r="I544">
        <v>295</v>
      </c>
      <c r="J544" s="3">
        <v>0.97</v>
      </c>
      <c r="K544">
        <v>6.29</v>
      </c>
      <c r="L544">
        <v>1.2</v>
      </c>
      <c r="M544">
        <v>7</v>
      </c>
      <c r="N544">
        <v>1031</v>
      </c>
      <c r="O544" s="3">
        <f t="shared" si="16"/>
        <v>57594753</v>
      </c>
      <c r="P544" s="3">
        <f t="shared" si="17"/>
        <v>57245413</v>
      </c>
    </row>
    <row r="545" spans="1:16">
      <c r="A545">
        <v>2024</v>
      </c>
      <c r="B545" t="s">
        <v>16</v>
      </c>
      <c r="C545" t="s">
        <v>46</v>
      </c>
      <c r="D545" t="s">
        <v>22</v>
      </c>
      <c r="E545" t="s">
        <v>23</v>
      </c>
      <c r="F545" t="s">
        <v>20</v>
      </c>
      <c r="G545" s="3">
        <v>86415</v>
      </c>
      <c r="H545" s="3">
        <v>378082</v>
      </c>
      <c r="I545">
        <v>291</v>
      </c>
      <c r="J545" s="3">
        <v>0.97</v>
      </c>
      <c r="K545">
        <v>6.29</v>
      </c>
      <c r="L545">
        <v>1.2</v>
      </c>
      <c r="M545">
        <v>4</v>
      </c>
      <c r="N545">
        <v>666</v>
      </c>
      <c r="O545" s="3">
        <f t="shared" si="16"/>
        <v>57552390</v>
      </c>
      <c r="P545" s="3">
        <f t="shared" si="17"/>
        <v>57174308</v>
      </c>
    </row>
    <row r="546" spans="1:16">
      <c r="A546">
        <v>2023</v>
      </c>
      <c r="B546" t="s">
        <v>48</v>
      </c>
      <c r="C546" t="s">
        <v>38</v>
      </c>
      <c r="D546" t="s">
        <v>36</v>
      </c>
      <c r="E546" t="s">
        <v>19</v>
      </c>
      <c r="F546" t="s">
        <v>33</v>
      </c>
      <c r="G546" s="3">
        <v>103968</v>
      </c>
      <c r="H546" s="3">
        <v>451821</v>
      </c>
      <c r="I546">
        <v>153</v>
      </c>
      <c r="J546" s="3">
        <v>0.97</v>
      </c>
      <c r="K546">
        <v>6.29</v>
      </c>
      <c r="L546">
        <v>1.2</v>
      </c>
      <c r="M546">
        <v>4</v>
      </c>
      <c r="N546">
        <v>601</v>
      </c>
      <c r="O546" s="3">
        <f t="shared" si="16"/>
        <v>62484768</v>
      </c>
      <c r="P546" s="3">
        <f t="shared" si="17"/>
        <v>62032947</v>
      </c>
    </row>
    <row r="547" spans="1:16">
      <c r="A547">
        <v>2016</v>
      </c>
      <c r="B547" t="s">
        <v>21</v>
      </c>
      <c r="C547" t="s">
        <v>51</v>
      </c>
      <c r="D547" t="s">
        <v>18</v>
      </c>
      <c r="E547" t="s">
        <v>19</v>
      </c>
      <c r="F547" t="s">
        <v>33</v>
      </c>
      <c r="G547" s="3">
        <v>95430</v>
      </c>
      <c r="H547" s="3">
        <v>369532</v>
      </c>
      <c r="I547">
        <v>214</v>
      </c>
      <c r="J547" s="3">
        <v>0.97</v>
      </c>
      <c r="K547">
        <v>6.29</v>
      </c>
      <c r="L547">
        <v>1.2</v>
      </c>
      <c r="M547">
        <v>1</v>
      </c>
      <c r="N547">
        <v>510</v>
      </c>
      <c r="O547" s="3">
        <f t="shared" si="16"/>
        <v>48669300</v>
      </c>
      <c r="P547" s="3">
        <f t="shared" si="17"/>
        <v>48299768</v>
      </c>
    </row>
    <row r="548" spans="1:16">
      <c r="A548">
        <v>2024</v>
      </c>
      <c r="B548" t="s">
        <v>49</v>
      </c>
      <c r="C548" t="s">
        <v>51</v>
      </c>
      <c r="D548" t="s">
        <v>27</v>
      </c>
      <c r="E548" t="s">
        <v>23</v>
      </c>
      <c r="F548" t="s">
        <v>33</v>
      </c>
      <c r="G548" s="3">
        <v>36515</v>
      </c>
      <c r="H548" s="3">
        <v>262369</v>
      </c>
      <c r="I548">
        <v>48</v>
      </c>
      <c r="J548" s="3">
        <v>0.97</v>
      </c>
      <c r="K548">
        <v>6.29</v>
      </c>
      <c r="L548">
        <v>1.2</v>
      </c>
      <c r="M548">
        <v>2</v>
      </c>
      <c r="N548">
        <v>474</v>
      </c>
      <c r="O548" s="3">
        <f t="shared" si="16"/>
        <v>17308110</v>
      </c>
      <c r="P548" s="3">
        <f t="shared" si="17"/>
        <v>17045741</v>
      </c>
    </row>
    <row r="549" spans="1:16">
      <c r="A549">
        <v>2016</v>
      </c>
      <c r="B549" t="s">
        <v>21</v>
      </c>
      <c r="C549" t="s">
        <v>31</v>
      </c>
      <c r="D549" t="s">
        <v>41</v>
      </c>
      <c r="E549" t="s">
        <v>23</v>
      </c>
      <c r="F549" t="s">
        <v>28</v>
      </c>
      <c r="G549" s="3">
        <v>49605</v>
      </c>
      <c r="H549" s="3">
        <v>105501</v>
      </c>
      <c r="I549">
        <v>163</v>
      </c>
      <c r="J549" s="3">
        <v>0.97</v>
      </c>
      <c r="K549">
        <v>6.29</v>
      </c>
      <c r="L549">
        <v>1.2</v>
      </c>
      <c r="M549">
        <v>9</v>
      </c>
      <c r="N549">
        <v>759</v>
      </c>
      <c r="O549" s="3">
        <f t="shared" si="16"/>
        <v>37650195</v>
      </c>
      <c r="P549" s="3">
        <f t="shared" si="17"/>
        <v>37544694</v>
      </c>
    </row>
    <row r="550" spans="1:16">
      <c r="A550">
        <v>2019</v>
      </c>
      <c r="B550" t="s">
        <v>25</v>
      </c>
      <c r="C550" t="s">
        <v>40</v>
      </c>
      <c r="D550" t="s">
        <v>32</v>
      </c>
      <c r="E550" t="s">
        <v>19</v>
      </c>
      <c r="F550" t="s">
        <v>28</v>
      </c>
      <c r="G550" s="3">
        <v>91240</v>
      </c>
      <c r="H550" s="3">
        <v>234381</v>
      </c>
      <c r="I550">
        <v>185</v>
      </c>
      <c r="J550" s="3">
        <v>0.97</v>
      </c>
      <c r="K550">
        <v>6.29</v>
      </c>
      <c r="L550">
        <v>1.2</v>
      </c>
      <c r="M550">
        <v>10</v>
      </c>
      <c r="N550">
        <v>750</v>
      </c>
      <c r="O550" s="3">
        <f t="shared" si="16"/>
        <v>68430000</v>
      </c>
      <c r="P550" s="3">
        <f t="shared" si="17"/>
        <v>68195619</v>
      </c>
    </row>
    <row r="551" spans="1:16">
      <c r="A551">
        <v>2019</v>
      </c>
      <c r="B551" t="s">
        <v>16</v>
      </c>
      <c r="C551" t="s">
        <v>17</v>
      </c>
      <c r="D551" t="s">
        <v>42</v>
      </c>
      <c r="E551" t="s">
        <v>19</v>
      </c>
      <c r="F551" t="s">
        <v>24</v>
      </c>
      <c r="G551" s="3">
        <v>40586</v>
      </c>
      <c r="H551" s="3">
        <v>77043</v>
      </c>
      <c r="I551">
        <v>250</v>
      </c>
      <c r="J551" s="3">
        <v>0.97</v>
      </c>
      <c r="K551">
        <v>6.29</v>
      </c>
      <c r="L551">
        <v>1.2</v>
      </c>
      <c r="M551">
        <v>8</v>
      </c>
      <c r="N551">
        <v>930</v>
      </c>
      <c r="O551" s="3">
        <f t="shared" si="16"/>
        <v>37744980</v>
      </c>
      <c r="P551" s="3">
        <f t="shared" si="17"/>
        <v>37667937</v>
      </c>
    </row>
    <row r="552" spans="1:16">
      <c r="A552">
        <v>2020</v>
      </c>
      <c r="B552" t="s">
        <v>29</v>
      </c>
      <c r="C552" t="s">
        <v>44</v>
      </c>
      <c r="D552" t="s">
        <v>22</v>
      </c>
      <c r="E552" t="s">
        <v>23</v>
      </c>
      <c r="F552" t="s">
        <v>20</v>
      </c>
      <c r="G552" s="3">
        <v>66186</v>
      </c>
      <c r="H552" s="3">
        <v>83635</v>
      </c>
      <c r="I552">
        <v>395</v>
      </c>
      <c r="J552" s="3">
        <v>0.97</v>
      </c>
      <c r="K552">
        <v>6.29</v>
      </c>
      <c r="L552">
        <v>1.2</v>
      </c>
      <c r="M552">
        <v>8</v>
      </c>
      <c r="N552">
        <v>905</v>
      </c>
      <c r="O552" s="3">
        <f t="shared" si="16"/>
        <v>59898330</v>
      </c>
      <c r="P552" s="3">
        <f t="shared" si="17"/>
        <v>59814695</v>
      </c>
    </row>
    <row r="553" spans="1:16">
      <c r="A553">
        <v>2017</v>
      </c>
      <c r="B553" t="s">
        <v>29</v>
      </c>
      <c r="C553" t="s">
        <v>44</v>
      </c>
      <c r="D553" t="s">
        <v>32</v>
      </c>
      <c r="E553" t="s">
        <v>19</v>
      </c>
      <c r="F553" t="s">
        <v>28</v>
      </c>
      <c r="G553" s="3">
        <v>61928</v>
      </c>
      <c r="H553" s="3">
        <v>260387</v>
      </c>
      <c r="I553">
        <v>378</v>
      </c>
      <c r="J553" s="3">
        <v>0.97</v>
      </c>
      <c r="K553">
        <v>6.29</v>
      </c>
      <c r="L553">
        <v>1.2</v>
      </c>
      <c r="M553">
        <v>9</v>
      </c>
      <c r="N553">
        <v>798</v>
      </c>
      <c r="O553" s="3">
        <f t="shared" si="16"/>
        <v>49418544</v>
      </c>
      <c r="P553" s="3">
        <f t="shared" si="17"/>
        <v>49158157</v>
      </c>
    </row>
    <row r="554" spans="1:16">
      <c r="A554">
        <v>2022</v>
      </c>
      <c r="B554" t="s">
        <v>47</v>
      </c>
      <c r="C554" t="s">
        <v>17</v>
      </c>
      <c r="D554" t="s">
        <v>32</v>
      </c>
      <c r="E554" t="s">
        <v>19</v>
      </c>
      <c r="F554" t="s">
        <v>33</v>
      </c>
      <c r="G554" s="3">
        <v>118087</v>
      </c>
      <c r="H554" s="3">
        <v>130691</v>
      </c>
      <c r="I554">
        <v>143</v>
      </c>
      <c r="J554" s="3">
        <v>0.97</v>
      </c>
      <c r="K554">
        <v>6.29</v>
      </c>
      <c r="L554">
        <v>1.2</v>
      </c>
      <c r="M554">
        <v>7</v>
      </c>
      <c r="N554">
        <v>311</v>
      </c>
      <c r="O554" s="3">
        <f t="shared" si="16"/>
        <v>36725057</v>
      </c>
      <c r="P554" s="3">
        <f t="shared" si="17"/>
        <v>36594366</v>
      </c>
    </row>
    <row r="555" spans="1:16">
      <c r="A555">
        <v>2015</v>
      </c>
      <c r="B555" t="s">
        <v>29</v>
      </c>
      <c r="C555" t="s">
        <v>26</v>
      </c>
      <c r="D555" t="s">
        <v>39</v>
      </c>
      <c r="E555" t="s">
        <v>23</v>
      </c>
      <c r="F555" t="s">
        <v>28</v>
      </c>
      <c r="G555" s="3">
        <v>55711</v>
      </c>
      <c r="H555" s="3">
        <v>345276</v>
      </c>
      <c r="I555">
        <v>55</v>
      </c>
      <c r="J555" s="3">
        <v>0.97</v>
      </c>
      <c r="K555">
        <v>6.29</v>
      </c>
      <c r="L555">
        <v>1.2</v>
      </c>
      <c r="M555">
        <v>9</v>
      </c>
      <c r="N555">
        <v>170</v>
      </c>
      <c r="O555" s="3">
        <f t="shared" si="16"/>
        <v>9470870</v>
      </c>
      <c r="P555" s="3">
        <f t="shared" si="17"/>
        <v>9125594</v>
      </c>
    </row>
    <row r="556" spans="1:16">
      <c r="A556">
        <v>2020</v>
      </c>
      <c r="B556" t="s">
        <v>47</v>
      </c>
      <c r="C556" t="s">
        <v>40</v>
      </c>
      <c r="D556" t="s">
        <v>18</v>
      </c>
      <c r="E556" t="s">
        <v>19</v>
      </c>
      <c r="F556" t="s">
        <v>20</v>
      </c>
      <c r="G556" s="3">
        <v>89962</v>
      </c>
      <c r="H556" s="3">
        <v>327510</v>
      </c>
      <c r="I556">
        <v>59</v>
      </c>
      <c r="J556" s="3">
        <v>0.97</v>
      </c>
      <c r="K556">
        <v>6.29</v>
      </c>
      <c r="L556">
        <v>1.2</v>
      </c>
      <c r="M556">
        <v>10</v>
      </c>
      <c r="N556">
        <v>282</v>
      </c>
      <c r="O556" s="3">
        <f t="shared" si="16"/>
        <v>25369284</v>
      </c>
      <c r="P556" s="3">
        <f t="shared" si="17"/>
        <v>25041774</v>
      </c>
    </row>
    <row r="557" spans="1:16">
      <c r="A557">
        <v>2018</v>
      </c>
      <c r="B557" t="s">
        <v>37</v>
      </c>
      <c r="C557" t="s">
        <v>38</v>
      </c>
      <c r="D557" t="s">
        <v>42</v>
      </c>
      <c r="E557" t="s">
        <v>19</v>
      </c>
      <c r="F557" t="s">
        <v>28</v>
      </c>
      <c r="G557" s="3">
        <v>55039</v>
      </c>
      <c r="H557" s="3">
        <v>143944</v>
      </c>
      <c r="I557">
        <v>175</v>
      </c>
      <c r="J557" s="3">
        <v>0.97</v>
      </c>
      <c r="K557">
        <v>6.29</v>
      </c>
      <c r="L557">
        <v>1.2</v>
      </c>
      <c r="M557">
        <v>2</v>
      </c>
      <c r="N557">
        <v>668</v>
      </c>
      <c r="O557" s="3">
        <f t="shared" si="16"/>
        <v>36766052</v>
      </c>
      <c r="P557" s="3">
        <f t="shared" si="17"/>
        <v>36622108</v>
      </c>
    </row>
    <row r="558" spans="1:16">
      <c r="A558">
        <v>2015</v>
      </c>
      <c r="B558" t="s">
        <v>43</v>
      </c>
      <c r="C558" t="s">
        <v>26</v>
      </c>
      <c r="D558" t="s">
        <v>41</v>
      </c>
      <c r="E558" t="s">
        <v>23</v>
      </c>
      <c r="F558" t="s">
        <v>33</v>
      </c>
      <c r="G558" s="3">
        <v>71561</v>
      </c>
      <c r="H558" s="3">
        <v>253179</v>
      </c>
      <c r="I558">
        <v>115</v>
      </c>
      <c r="J558" s="3">
        <v>0.97</v>
      </c>
      <c r="K558">
        <v>6.29</v>
      </c>
      <c r="L558">
        <v>1.2</v>
      </c>
      <c r="M558">
        <v>6</v>
      </c>
      <c r="N558">
        <v>284</v>
      </c>
      <c r="O558" s="3">
        <f t="shared" si="16"/>
        <v>20323324</v>
      </c>
      <c r="P558" s="3">
        <f t="shared" si="17"/>
        <v>20070145</v>
      </c>
    </row>
    <row r="559" spans="1:16">
      <c r="A559">
        <v>2021</v>
      </c>
      <c r="B559" t="s">
        <v>35</v>
      </c>
      <c r="C559" t="s">
        <v>34</v>
      </c>
      <c r="D559" t="s">
        <v>30</v>
      </c>
      <c r="E559" t="s">
        <v>23</v>
      </c>
      <c r="F559" t="s">
        <v>24</v>
      </c>
      <c r="G559" s="3">
        <v>110483</v>
      </c>
      <c r="H559" s="3">
        <v>427411</v>
      </c>
      <c r="I559">
        <v>225</v>
      </c>
      <c r="J559" s="3">
        <v>0.97</v>
      </c>
      <c r="K559">
        <v>6.29</v>
      </c>
      <c r="L559">
        <v>1.2</v>
      </c>
      <c r="M559">
        <v>3</v>
      </c>
      <c r="N559">
        <v>641</v>
      </c>
      <c r="O559" s="3">
        <f t="shared" si="16"/>
        <v>70819603</v>
      </c>
      <c r="P559" s="3">
        <f t="shared" si="17"/>
        <v>70392192</v>
      </c>
    </row>
    <row r="560" spans="1:16">
      <c r="A560">
        <v>2023</v>
      </c>
      <c r="B560" t="s">
        <v>29</v>
      </c>
      <c r="C560" t="s">
        <v>17</v>
      </c>
      <c r="D560" t="s">
        <v>39</v>
      </c>
      <c r="E560" t="s">
        <v>23</v>
      </c>
      <c r="F560" t="s">
        <v>33</v>
      </c>
      <c r="G560" s="3">
        <v>116395</v>
      </c>
      <c r="H560" s="3">
        <v>89236</v>
      </c>
      <c r="I560">
        <v>155</v>
      </c>
      <c r="J560" s="3">
        <v>0.97</v>
      </c>
      <c r="K560">
        <v>6.29</v>
      </c>
      <c r="L560">
        <v>1.2</v>
      </c>
      <c r="M560">
        <v>6</v>
      </c>
      <c r="N560">
        <v>550</v>
      </c>
      <c r="O560" s="3">
        <f t="shared" si="16"/>
        <v>64017250</v>
      </c>
      <c r="P560" s="3">
        <f t="shared" si="17"/>
        <v>63928014</v>
      </c>
    </row>
    <row r="561" spans="1:16">
      <c r="A561">
        <v>2018</v>
      </c>
      <c r="B561" t="s">
        <v>48</v>
      </c>
      <c r="C561" t="s">
        <v>38</v>
      </c>
      <c r="D561" t="s">
        <v>32</v>
      </c>
      <c r="E561" t="s">
        <v>19</v>
      </c>
      <c r="F561" t="s">
        <v>20</v>
      </c>
      <c r="G561" s="3">
        <v>36577</v>
      </c>
      <c r="H561" s="3">
        <v>316294</v>
      </c>
      <c r="I561">
        <v>81</v>
      </c>
      <c r="J561" s="3">
        <v>0.97</v>
      </c>
      <c r="K561">
        <v>6.29</v>
      </c>
      <c r="L561">
        <v>1.2</v>
      </c>
      <c r="M561">
        <v>3</v>
      </c>
      <c r="N561">
        <v>626</v>
      </c>
      <c r="O561" s="3">
        <f t="shared" si="16"/>
        <v>22897202</v>
      </c>
      <c r="P561" s="3">
        <f t="shared" si="17"/>
        <v>22580908</v>
      </c>
    </row>
    <row r="562" spans="1:16">
      <c r="A562">
        <v>2018</v>
      </c>
      <c r="B562" t="s">
        <v>25</v>
      </c>
      <c r="C562" t="s">
        <v>44</v>
      </c>
      <c r="D562" t="s">
        <v>32</v>
      </c>
      <c r="E562" t="s">
        <v>19</v>
      </c>
      <c r="F562" t="s">
        <v>24</v>
      </c>
      <c r="G562" s="3">
        <v>63350</v>
      </c>
      <c r="H562" s="3">
        <v>423513</v>
      </c>
      <c r="I562">
        <v>339</v>
      </c>
      <c r="J562" s="3">
        <v>0.97</v>
      </c>
      <c r="K562">
        <v>6.29</v>
      </c>
      <c r="L562">
        <v>1.2</v>
      </c>
      <c r="M562">
        <v>8</v>
      </c>
      <c r="N562">
        <v>1033</v>
      </c>
      <c r="O562" s="3">
        <f t="shared" si="16"/>
        <v>65440550</v>
      </c>
      <c r="P562" s="3">
        <f t="shared" si="17"/>
        <v>65017037</v>
      </c>
    </row>
    <row r="563" spans="1:16">
      <c r="A563">
        <v>2020</v>
      </c>
      <c r="B563" t="s">
        <v>50</v>
      </c>
      <c r="C563" t="s">
        <v>45</v>
      </c>
      <c r="D563" t="s">
        <v>52</v>
      </c>
      <c r="E563" t="s">
        <v>19</v>
      </c>
      <c r="F563" t="s">
        <v>28</v>
      </c>
      <c r="G563" s="3">
        <v>68798</v>
      </c>
      <c r="H563" s="3">
        <v>331567</v>
      </c>
      <c r="I563">
        <v>282</v>
      </c>
      <c r="J563" s="3">
        <v>0.97</v>
      </c>
      <c r="K563">
        <v>6.29</v>
      </c>
      <c r="L563">
        <v>1.2</v>
      </c>
      <c r="M563">
        <v>4</v>
      </c>
      <c r="N563">
        <v>730</v>
      </c>
      <c r="O563" s="3">
        <f t="shared" si="16"/>
        <v>50222540</v>
      </c>
      <c r="P563" s="3">
        <f t="shared" si="17"/>
        <v>49890973</v>
      </c>
    </row>
    <row r="564" spans="1:16">
      <c r="A564">
        <v>2017</v>
      </c>
      <c r="B564" t="s">
        <v>37</v>
      </c>
      <c r="C564" t="s">
        <v>31</v>
      </c>
      <c r="D564" t="s">
        <v>42</v>
      </c>
      <c r="E564" t="s">
        <v>19</v>
      </c>
      <c r="F564" t="s">
        <v>28</v>
      </c>
      <c r="G564" s="3">
        <v>116417</v>
      </c>
      <c r="H564" s="3">
        <v>54137</v>
      </c>
      <c r="I564">
        <v>256</v>
      </c>
      <c r="J564" s="3">
        <v>0.97</v>
      </c>
      <c r="K564">
        <v>6.29</v>
      </c>
      <c r="L564">
        <v>1.2</v>
      </c>
      <c r="M564">
        <v>10</v>
      </c>
      <c r="N564">
        <v>705</v>
      </c>
      <c r="O564" s="3">
        <f t="shared" si="16"/>
        <v>82073985</v>
      </c>
      <c r="P564" s="3">
        <f t="shared" si="17"/>
        <v>82019848</v>
      </c>
    </row>
    <row r="565" spans="1:16">
      <c r="A565">
        <v>2020</v>
      </c>
      <c r="B565" t="s">
        <v>29</v>
      </c>
      <c r="C565" t="s">
        <v>44</v>
      </c>
      <c r="D565" t="s">
        <v>42</v>
      </c>
      <c r="E565" t="s">
        <v>19</v>
      </c>
      <c r="F565" t="s">
        <v>28</v>
      </c>
      <c r="G565" s="3">
        <v>45785</v>
      </c>
      <c r="H565" s="3">
        <v>79992</v>
      </c>
      <c r="I565">
        <v>195</v>
      </c>
      <c r="J565" s="3">
        <v>0.97</v>
      </c>
      <c r="K565">
        <v>6.29</v>
      </c>
      <c r="L565">
        <v>1.2</v>
      </c>
      <c r="M565">
        <v>6</v>
      </c>
      <c r="N565">
        <v>542</v>
      </c>
      <c r="O565" s="3">
        <f t="shared" si="16"/>
        <v>24815470</v>
      </c>
      <c r="P565" s="3">
        <f t="shared" si="17"/>
        <v>24735478</v>
      </c>
    </row>
    <row r="566" spans="1:16">
      <c r="A566">
        <v>2021</v>
      </c>
      <c r="B566" t="s">
        <v>43</v>
      </c>
      <c r="C566" t="s">
        <v>40</v>
      </c>
      <c r="D566" t="s">
        <v>52</v>
      </c>
      <c r="E566" t="s">
        <v>19</v>
      </c>
      <c r="F566" t="s">
        <v>24</v>
      </c>
      <c r="G566" s="3">
        <v>107227</v>
      </c>
      <c r="H566" s="3">
        <v>422684</v>
      </c>
      <c r="I566">
        <v>79</v>
      </c>
      <c r="J566" s="3">
        <v>0.97</v>
      </c>
      <c r="K566">
        <v>6.29</v>
      </c>
      <c r="L566">
        <v>1.2</v>
      </c>
      <c r="M566">
        <v>9</v>
      </c>
      <c r="N566">
        <v>380</v>
      </c>
      <c r="O566" s="3">
        <f t="shared" si="16"/>
        <v>40746260</v>
      </c>
      <c r="P566" s="3">
        <f t="shared" si="17"/>
        <v>40323576</v>
      </c>
    </row>
    <row r="567" spans="1:16">
      <c r="A567">
        <v>2024</v>
      </c>
      <c r="B567" t="s">
        <v>47</v>
      </c>
      <c r="C567" t="s">
        <v>51</v>
      </c>
      <c r="D567" t="s">
        <v>42</v>
      </c>
      <c r="E567" t="s">
        <v>19</v>
      </c>
      <c r="F567" t="s">
        <v>33</v>
      </c>
      <c r="G567" s="3">
        <v>96957</v>
      </c>
      <c r="H567" s="3">
        <v>165140</v>
      </c>
      <c r="I567">
        <v>159</v>
      </c>
      <c r="J567" s="3">
        <v>0.97</v>
      </c>
      <c r="K567">
        <v>6.29</v>
      </c>
      <c r="L567">
        <v>1.2</v>
      </c>
      <c r="M567">
        <v>2</v>
      </c>
      <c r="N567">
        <v>605</v>
      </c>
      <c r="O567" s="3">
        <f t="shared" si="16"/>
        <v>58658985</v>
      </c>
      <c r="P567" s="3">
        <f t="shared" si="17"/>
        <v>58493845</v>
      </c>
    </row>
    <row r="568" spans="1:16">
      <c r="A568">
        <v>2024</v>
      </c>
      <c r="B568" t="s">
        <v>49</v>
      </c>
      <c r="C568" t="s">
        <v>45</v>
      </c>
      <c r="D568" t="s">
        <v>32</v>
      </c>
      <c r="E568" t="s">
        <v>19</v>
      </c>
      <c r="F568" t="s">
        <v>24</v>
      </c>
      <c r="G568" s="3">
        <v>100431</v>
      </c>
      <c r="H568" s="3">
        <v>225993</v>
      </c>
      <c r="I568">
        <v>255</v>
      </c>
      <c r="J568" s="3">
        <v>0.97</v>
      </c>
      <c r="K568">
        <v>6.29</v>
      </c>
      <c r="L568">
        <v>1.2</v>
      </c>
      <c r="M568">
        <v>2</v>
      </c>
      <c r="N568">
        <v>646</v>
      </c>
      <c r="O568" s="3">
        <f t="shared" si="16"/>
        <v>64878426</v>
      </c>
      <c r="P568" s="3">
        <f t="shared" si="17"/>
        <v>64652433</v>
      </c>
    </row>
    <row r="569" spans="1:16">
      <c r="A569">
        <v>2017</v>
      </c>
      <c r="B569" t="s">
        <v>50</v>
      </c>
      <c r="C569" t="s">
        <v>31</v>
      </c>
      <c r="D569" t="s">
        <v>22</v>
      </c>
      <c r="E569" t="s">
        <v>23</v>
      </c>
      <c r="F569" t="s">
        <v>24</v>
      </c>
      <c r="G569" s="3">
        <v>52297</v>
      </c>
      <c r="H569" s="3">
        <v>171225</v>
      </c>
      <c r="I569">
        <v>271</v>
      </c>
      <c r="J569" s="3">
        <v>0.97</v>
      </c>
      <c r="K569">
        <v>6.29</v>
      </c>
      <c r="L569">
        <v>1.2</v>
      </c>
      <c r="M569">
        <v>7</v>
      </c>
      <c r="N569">
        <v>738</v>
      </c>
      <c r="O569" s="3">
        <f t="shared" si="16"/>
        <v>38595186</v>
      </c>
      <c r="P569" s="3">
        <f t="shared" si="17"/>
        <v>38423961</v>
      </c>
    </row>
    <row r="570" spans="1:16">
      <c r="A570">
        <v>2021</v>
      </c>
      <c r="B570" t="s">
        <v>43</v>
      </c>
      <c r="C570" t="s">
        <v>31</v>
      </c>
      <c r="D570" t="s">
        <v>27</v>
      </c>
      <c r="E570" t="s">
        <v>23</v>
      </c>
      <c r="F570" t="s">
        <v>20</v>
      </c>
      <c r="G570" s="3">
        <v>106894</v>
      </c>
      <c r="H570" s="3">
        <v>379061</v>
      </c>
      <c r="I570">
        <v>35</v>
      </c>
      <c r="J570" s="3">
        <v>0.97</v>
      </c>
      <c r="K570">
        <v>6.29</v>
      </c>
      <c r="L570">
        <v>1.2</v>
      </c>
      <c r="M570">
        <v>2</v>
      </c>
      <c r="N570">
        <v>467</v>
      </c>
      <c r="O570" s="3">
        <f t="shared" si="16"/>
        <v>49919498</v>
      </c>
      <c r="P570" s="3">
        <f t="shared" si="17"/>
        <v>49540437</v>
      </c>
    </row>
    <row r="571" spans="1:16">
      <c r="A571">
        <v>2017</v>
      </c>
      <c r="B571" t="s">
        <v>43</v>
      </c>
      <c r="C571" t="s">
        <v>34</v>
      </c>
      <c r="D571" t="s">
        <v>32</v>
      </c>
      <c r="E571" t="s">
        <v>19</v>
      </c>
      <c r="F571" t="s">
        <v>24</v>
      </c>
      <c r="G571" s="3">
        <v>98772</v>
      </c>
      <c r="H571" s="3">
        <v>385834</v>
      </c>
      <c r="I571">
        <v>149</v>
      </c>
      <c r="J571" s="3">
        <v>0.97</v>
      </c>
      <c r="K571">
        <v>6.29</v>
      </c>
      <c r="L571">
        <v>1.2</v>
      </c>
      <c r="M571">
        <v>2</v>
      </c>
      <c r="N571">
        <v>406</v>
      </c>
      <c r="O571" s="3">
        <f t="shared" si="16"/>
        <v>40101432</v>
      </c>
      <c r="P571" s="3">
        <f t="shared" si="17"/>
        <v>39715598</v>
      </c>
    </row>
    <row r="572" spans="1:16">
      <c r="A572">
        <v>2016</v>
      </c>
      <c r="B572" t="s">
        <v>29</v>
      </c>
      <c r="C572" t="s">
        <v>34</v>
      </c>
      <c r="D572" t="s">
        <v>39</v>
      </c>
      <c r="E572" t="s">
        <v>23</v>
      </c>
      <c r="F572" t="s">
        <v>28</v>
      </c>
      <c r="G572" s="3">
        <v>54581</v>
      </c>
      <c r="H572" s="3">
        <v>346379</v>
      </c>
      <c r="I572">
        <v>108</v>
      </c>
      <c r="J572" s="3">
        <v>0.97</v>
      </c>
      <c r="K572">
        <v>6.29</v>
      </c>
      <c r="L572">
        <v>1.2</v>
      </c>
      <c r="M572">
        <v>4</v>
      </c>
      <c r="N572">
        <v>346</v>
      </c>
      <c r="O572" s="3">
        <f t="shared" si="16"/>
        <v>18885026</v>
      </c>
      <c r="P572" s="3">
        <f t="shared" si="17"/>
        <v>18538647</v>
      </c>
    </row>
    <row r="573" spans="1:16">
      <c r="A573">
        <v>2024</v>
      </c>
      <c r="B573" t="s">
        <v>37</v>
      </c>
      <c r="C573" t="s">
        <v>46</v>
      </c>
      <c r="D573" t="s">
        <v>18</v>
      </c>
      <c r="E573" t="s">
        <v>19</v>
      </c>
      <c r="F573" t="s">
        <v>33</v>
      </c>
      <c r="G573" s="3">
        <v>90192</v>
      </c>
      <c r="H573" s="3">
        <v>260047</v>
      </c>
      <c r="I573">
        <v>287</v>
      </c>
      <c r="J573" s="3">
        <v>0.97</v>
      </c>
      <c r="K573">
        <v>6.29</v>
      </c>
      <c r="L573">
        <v>1.2</v>
      </c>
      <c r="M573">
        <v>9</v>
      </c>
      <c r="N573">
        <v>784</v>
      </c>
      <c r="O573" s="3">
        <f t="shared" si="16"/>
        <v>70710528</v>
      </c>
      <c r="P573" s="3">
        <f t="shared" si="17"/>
        <v>70450481</v>
      </c>
    </row>
    <row r="574" spans="1:16">
      <c r="A574">
        <v>2018</v>
      </c>
      <c r="B574" t="s">
        <v>50</v>
      </c>
      <c r="C574" t="s">
        <v>44</v>
      </c>
      <c r="D574" t="s">
        <v>52</v>
      </c>
      <c r="E574" t="s">
        <v>19</v>
      </c>
      <c r="F574" t="s">
        <v>33</v>
      </c>
      <c r="G574" s="3">
        <v>36462</v>
      </c>
      <c r="H574" s="3">
        <v>69122</v>
      </c>
      <c r="I574">
        <v>60</v>
      </c>
      <c r="J574" s="3">
        <v>0.97</v>
      </c>
      <c r="K574">
        <v>6.29</v>
      </c>
      <c r="L574">
        <v>1.2</v>
      </c>
      <c r="M574">
        <v>8</v>
      </c>
      <c r="N574">
        <v>182</v>
      </c>
      <c r="O574" s="3">
        <f t="shared" si="16"/>
        <v>6636084</v>
      </c>
      <c r="P574" s="3">
        <f t="shared" si="17"/>
        <v>6566962</v>
      </c>
    </row>
    <row r="575" spans="1:16">
      <c r="A575">
        <v>2022</v>
      </c>
      <c r="B575" t="s">
        <v>53</v>
      </c>
      <c r="C575" t="s">
        <v>44</v>
      </c>
      <c r="D575" t="s">
        <v>41</v>
      </c>
      <c r="E575" t="s">
        <v>23</v>
      </c>
      <c r="F575" t="s">
        <v>33</v>
      </c>
      <c r="G575" s="3">
        <v>99173</v>
      </c>
      <c r="H575" s="3">
        <v>336100</v>
      </c>
      <c r="I575">
        <v>160</v>
      </c>
      <c r="J575" s="3">
        <v>0.97</v>
      </c>
      <c r="K575">
        <v>6.29</v>
      </c>
      <c r="L575">
        <v>1.2</v>
      </c>
      <c r="M575">
        <v>2</v>
      </c>
      <c r="N575">
        <v>431</v>
      </c>
      <c r="O575" s="3">
        <f t="shared" si="16"/>
        <v>42743563</v>
      </c>
      <c r="P575" s="3">
        <f t="shared" si="17"/>
        <v>42407463</v>
      </c>
    </row>
    <row r="576" spans="1:16">
      <c r="A576">
        <v>2023</v>
      </c>
      <c r="B576" t="s">
        <v>35</v>
      </c>
      <c r="C576" t="s">
        <v>44</v>
      </c>
      <c r="D576" t="s">
        <v>30</v>
      </c>
      <c r="E576" t="s">
        <v>23</v>
      </c>
      <c r="F576" t="s">
        <v>28</v>
      </c>
      <c r="G576" s="3">
        <v>50511</v>
      </c>
      <c r="H576" s="3">
        <v>113879</v>
      </c>
      <c r="I576">
        <v>113</v>
      </c>
      <c r="J576" s="3">
        <v>0.97</v>
      </c>
      <c r="K576">
        <v>6.29</v>
      </c>
      <c r="L576">
        <v>1.2</v>
      </c>
      <c r="M576">
        <v>8</v>
      </c>
      <c r="N576">
        <v>309</v>
      </c>
      <c r="O576" s="3">
        <f t="shared" si="16"/>
        <v>15607899</v>
      </c>
      <c r="P576" s="3">
        <f t="shared" si="17"/>
        <v>15494020</v>
      </c>
    </row>
    <row r="577" spans="1:16">
      <c r="A577">
        <v>2021</v>
      </c>
      <c r="B577" t="s">
        <v>53</v>
      </c>
      <c r="C577" t="s">
        <v>46</v>
      </c>
      <c r="D577" t="s">
        <v>41</v>
      </c>
      <c r="E577" t="s">
        <v>23</v>
      </c>
      <c r="F577" t="s">
        <v>28</v>
      </c>
      <c r="G577" s="3">
        <v>111106</v>
      </c>
      <c r="H577" s="3">
        <v>108560</v>
      </c>
      <c r="I577">
        <v>98</v>
      </c>
      <c r="J577" s="3">
        <v>0.97</v>
      </c>
      <c r="K577">
        <v>6.29</v>
      </c>
      <c r="L577">
        <v>1.2</v>
      </c>
      <c r="M577">
        <v>4</v>
      </c>
      <c r="N577">
        <v>381</v>
      </c>
      <c r="O577" s="3">
        <f t="shared" si="16"/>
        <v>42331386</v>
      </c>
      <c r="P577" s="3">
        <f t="shared" si="17"/>
        <v>42222826</v>
      </c>
    </row>
    <row r="578" spans="1:16">
      <c r="A578">
        <v>2015</v>
      </c>
      <c r="B578" t="s">
        <v>25</v>
      </c>
      <c r="C578" t="s">
        <v>26</v>
      </c>
      <c r="D578" t="s">
        <v>32</v>
      </c>
      <c r="E578" t="s">
        <v>19</v>
      </c>
      <c r="F578" t="s">
        <v>28</v>
      </c>
      <c r="G578" s="3">
        <v>83665</v>
      </c>
      <c r="H578" s="3">
        <v>422454</v>
      </c>
      <c r="I578">
        <v>150</v>
      </c>
      <c r="J578" s="3">
        <v>0.97</v>
      </c>
      <c r="K578">
        <v>6.29</v>
      </c>
      <c r="L578">
        <v>1.2</v>
      </c>
      <c r="M578">
        <v>2</v>
      </c>
      <c r="N578">
        <v>553</v>
      </c>
      <c r="O578" s="3">
        <f t="shared" si="16"/>
        <v>46266745</v>
      </c>
      <c r="P578" s="3">
        <f t="shared" si="17"/>
        <v>45844291</v>
      </c>
    </row>
    <row r="579" spans="1:16">
      <c r="A579">
        <v>2017</v>
      </c>
      <c r="B579" t="s">
        <v>50</v>
      </c>
      <c r="C579" t="s">
        <v>31</v>
      </c>
      <c r="D579" t="s">
        <v>39</v>
      </c>
      <c r="E579" t="s">
        <v>23</v>
      </c>
      <c r="F579" t="s">
        <v>28</v>
      </c>
      <c r="G579" s="3">
        <v>79414</v>
      </c>
      <c r="H579" s="3">
        <v>249757</v>
      </c>
      <c r="I579">
        <v>222</v>
      </c>
      <c r="J579" s="3">
        <v>0.97</v>
      </c>
      <c r="K579">
        <v>6.29</v>
      </c>
      <c r="L579">
        <v>1.2</v>
      </c>
      <c r="M579">
        <v>10</v>
      </c>
      <c r="N579">
        <v>632</v>
      </c>
      <c r="O579" s="3">
        <f t="shared" ref="O579:O642" si="18">N579*G579</f>
        <v>50189648</v>
      </c>
      <c r="P579" s="3">
        <f t="shared" ref="P579:P642" si="19">O579-H579</f>
        <v>49939891</v>
      </c>
    </row>
    <row r="580" spans="1:16">
      <c r="A580">
        <v>2023</v>
      </c>
      <c r="B580" t="s">
        <v>53</v>
      </c>
      <c r="C580" t="s">
        <v>45</v>
      </c>
      <c r="D580" t="s">
        <v>32</v>
      </c>
      <c r="E580" t="s">
        <v>19</v>
      </c>
      <c r="F580" t="s">
        <v>28</v>
      </c>
      <c r="G580" s="3">
        <v>116010</v>
      </c>
      <c r="H580" s="3">
        <v>467876</v>
      </c>
      <c r="I580">
        <v>242</v>
      </c>
      <c r="J580" s="3">
        <v>0.97</v>
      </c>
      <c r="K580">
        <v>6.29</v>
      </c>
      <c r="L580">
        <v>1.2</v>
      </c>
      <c r="M580">
        <v>7</v>
      </c>
      <c r="N580">
        <v>887</v>
      </c>
      <c r="O580" s="3">
        <f t="shared" si="18"/>
        <v>102900870</v>
      </c>
      <c r="P580" s="3">
        <f t="shared" si="19"/>
        <v>102432994</v>
      </c>
    </row>
    <row r="581" spans="1:16">
      <c r="A581">
        <v>2015</v>
      </c>
      <c r="B581" t="s">
        <v>29</v>
      </c>
      <c r="C581" t="s">
        <v>40</v>
      </c>
      <c r="D581" t="s">
        <v>18</v>
      </c>
      <c r="E581" t="s">
        <v>19</v>
      </c>
      <c r="F581" t="s">
        <v>24</v>
      </c>
      <c r="G581" s="3">
        <v>107573</v>
      </c>
      <c r="H581" s="3">
        <v>287268</v>
      </c>
      <c r="I581">
        <v>192</v>
      </c>
      <c r="J581" s="3">
        <v>0.97</v>
      </c>
      <c r="K581">
        <v>6.29</v>
      </c>
      <c r="L581">
        <v>1.2</v>
      </c>
      <c r="M581">
        <v>6</v>
      </c>
      <c r="N581">
        <v>759</v>
      </c>
      <c r="O581" s="3">
        <f t="shared" si="18"/>
        <v>81647907</v>
      </c>
      <c r="P581" s="3">
        <f t="shared" si="19"/>
        <v>81360639</v>
      </c>
    </row>
    <row r="582" spans="1:16">
      <c r="A582">
        <v>2023</v>
      </c>
      <c r="B582" t="s">
        <v>16</v>
      </c>
      <c r="C582" t="s">
        <v>31</v>
      </c>
      <c r="D582" t="s">
        <v>22</v>
      </c>
      <c r="E582" t="s">
        <v>23</v>
      </c>
      <c r="F582" t="s">
        <v>28</v>
      </c>
      <c r="G582" s="3">
        <v>48386</v>
      </c>
      <c r="H582" s="3">
        <v>313312</v>
      </c>
      <c r="I582">
        <v>260</v>
      </c>
      <c r="J582" s="3">
        <v>0.97</v>
      </c>
      <c r="K582">
        <v>6.29</v>
      </c>
      <c r="L582">
        <v>1.2</v>
      </c>
      <c r="M582">
        <v>10</v>
      </c>
      <c r="N582">
        <v>615</v>
      </c>
      <c r="O582" s="3">
        <f t="shared" si="18"/>
        <v>29757390</v>
      </c>
      <c r="P582" s="3">
        <f t="shared" si="19"/>
        <v>29444078</v>
      </c>
    </row>
    <row r="583" spans="1:16">
      <c r="A583">
        <v>2022</v>
      </c>
      <c r="B583" t="s">
        <v>47</v>
      </c>
      <c r="C583" t="s">
        <v>34</v>
      </c>
      <c r="D583" t="s">
        <v>30</v>
      </c>
      <c r="E583" t="s">
        <v>23</v>
      </c>
      <c r="F583" t="s">
        <v>28</v>
      </c>
      <c r="G583" s="3">
        <v>89460</v>
      </c>
      <c r="H583" s="3">
        <v>357268</v>
      </c>
      <c r="I583">
        <v>18</v>
      </c>
      <c r="J583" s="3">
        <v>0.97</v>
      </c>
      <c r="K583">
        <v>6.29</v>
      </c>
      <c r="L583">
        <v>1.2</v>
      </c>
      <c r="M583">
        <v>5</v>
      </c>
      <c r="N583">
        <v>111</v>
      </c>
      <c r="O583" s="3">
        <f t="shared" si="18"/>
        <v>9930060</v>
      </c>
      <c r="P583" s="3">
        <f t="shared" si="19"/>
        <v>9572792</v>
      </c>
    </row>
    <row r="584" spans="1:16">
      <c r="A584">
        <v>2015</v>
      </c>
      <c r="B584" t="s">
        <v>16</v>
      </c>
      <c r="C584" t="s">
        <v>38</v>
      </c>
      <c r="D584" t="s">
        <v>18</v>
      </c>
      <c r="E584" t="s">
        <v>19</v>
      </c>
      <c r="F584" t="s">
        <v>28</v>
      </c>
      <c r="G584" s="3">
        <v>41221</v>
      </c>
      <c r="H584" s="3">
        <v>216969</v>
      </c>
      <c r="I584">
        <v>88</v>
      </c>
      <c r="J584" s="3">
        <v>0.97</v>
      </c>
      <c r="K584">
        <v>6.29</v>
      </c>
      <c r="L584">
        <v>1.2</v>
      </c>
      <c r="M584">
        <v>1</v>
      </c>
      <c r="N584">
        <v>492</v>
      </c>
      <c r="O584" s="3">
        <f t="shared" si="18"/>
        <v>20280732</v>
      </c>
      <c r="P584" s="3">
        <f t="shared" si="19"/>
        <v>20063763</v>
      </c>
    </row>
    <row r="585" spans="1:16">
      <c r="A585">
        <v>2020</v>
      </c>
      <c r="B585" t="s">
        <v>21</v>
      </c>
      <c r="C585" t="s">
        <v>51</v>
      </c>
      <c r="D585" t="s">
        <v>52</v>
      </c>
      <c r="E585" t="s">
        <v>19</v>
      </c>
      <c r="F585" t="s">
        <v>28</v>
      </c>
      <c r="G585" s="3">
        <v>58474</v>
      </c>
      <c r="H585" s="3">
        <v>196104</v>
      </c>
      <c r="I585">
        <v>61</v>
      </c>
      <c r="J585" s="3">
        <v>0.97</v>
      </c>
      <c r="K585">
        <v>6.29</v>
      </c>
      <c r="L585">
        <v>1.2</v>
      </c>
      <c r="M585">
        <v>2</v>
      </c>
      <c r="N585">
        <v>245</v>
      </c>
      <c r="O585" s="3">
        <f t="shared" si="18"/>
        <v>14326130</v>
      </c>
      <c r="P585" s="3">
        <f t="shared" si="19"/>
        <v>14130026</v>
      </c>
    </row>
    <row r="586" spans="1:16">
      <c r="A586">
        <v>2019</v>
      </c>
      <c r="B586" t="s">
        <v>53</v>
      </c>
      <c r="C586" t="s">
        <v>46</v>
      </c>
      <c r="D586" t="s">
        <v>52</v>
      </c>
      <c r="E586" t="s">
        <v>19</v>
      </c>
      <c r="F586" t="s">
        <v>33</v>
      </c>
      <c r="G586" s="3">
        <v>56045</v>
      </c>
      <c r="H586" s="3">
        <v>364941</v>
      </c>
      <c r="I586">
        <v>395</v>
      </c>
      <c r="J586" s="3">
        <v>0.97</v>
      </c>
      <c r="K586">
        <v>6.29</v>
      </c>
      <c r="L586">
        <v>1.2</v>
      </c>
      <c r="M586">
        <v>8</v>
      </c>
      <c r="N586">
        <v>1114</v>
      </c>
      <c r="O586" s="3">
        <f t="shared" si="18"/>
        <v>62434130</v>
      </c>
      <c r="P586" s="3">
        <f t="shared" si="19"/>
        <v>62069189</v>
      </c>
    </row>
    <row r="587" spans="1:16">
      <c r="A587">
        <v>2020</v>
      </c>
      <c r="B587" t="s">
        <v>25</v>
      </c>
      <c r="C587" t="s">
        <v>17</v>
      </c>
      <c r="D587" t="s">
        <v>32</v>
      </c>
      <c r="E587" t="s">
        <v>19</v>
      </c>
      <c r="F587" t="s">
        <v>28</v>
      </c>
      <c r="G587" s="3">
        <v>39922</v>
      </c>
      <c r="H587" s="3">
        <v>347438</v>
      </c>
      <c r="I587">
        <v>278</v>
      </c>
      <c r="J587" s="3">
        <v>0.97</v>
      </c>
      <c r="K587">
        <v>6.29</v>
      </c>
      <c r="L587">
        <v>1.2</v>
      </c>
      <c r="M587">
        <v>1</v>
      </c>
      <c r="N587">
        <v>641</v>
      </c>
      <c r="O587" s="3">
        <f t="shared" si="18"/>
        <v>25590002</v>
      </c>
      <c r="P587" s="3">
        <f t="shared" si="19"/>
        <v>25242564</v>
      </c>
    </row>
    <row r="588" spans="1:16">
      <c r="A588">
        <v>2024</v>
      </c>
      <c r="B588" t="s">
        <v>21</v>
      </c>
      <c r="C588" t="s">
        <v>38</v>
      </c>
      <c r="D588" t="s">
        <v>39</v>
      </c>
      <c r="E588" t="s">
        <v>23</v>
      </c>
      <c r="F588" t="s">
        <v>24</v>
      </c>
      <c r="G588" s="3">
        <v>57706</v>
      </c>
      <c r="H588" s="3">
        <v>487043</v>
      </c>
      <c r="I588">
        <v>235</v>
      </c>
      <c r="J588" s="3">
        <v>0.97</v>
      </c>
      <c r="K588">
        <v>6.29</v>
      </c>
      <c r="L588">
        <v>1.2</v>
      </c>
      <c r="M588">
        <v>3</v>
      </c>
      <c r="N588">
        <v>737</v>
      </c>
      <c r="O588" s="3">
        <f t="shared" si="18"/>
        <v>42529322</v>
      </c>
      <c r="P588" s="3">
        <f t="shared" si="19"/>
        <v>42042279</v>
      </c>
    </row>
    <row r="589" spans="1:16">
      <c r="A589">
        <v>2019</v>
      </c>
      <c r="B589" t="s">
        <v>49</v>
      </c>
      <c r="C589" t="s">
        <v>40</v>
      </c>
      <c r="D589" t="s">
        <v>18</v>
      </c>
      <c r="E589" t="s">
        <v>19</v>
      </c>
      <c r="F589" t="s">
        <v>24</v>
      </c>
      <c r="G589" s="3">
        <v>77771</v>
      </c>
      <c r="H589" s="3">
        <v>315660</v>
      </c>
      <c r="I589">
        <v>60</v>
      </c>
      <c r="J589" s="3">
        <v>0.97</v>
      </c>
      <c r="K589">
        <v>6.29</v>
      </c>
      <c r="L589">
        <v>1.2</v>
      </c>
      <c r="M589">
        <v>2</v>
      </c>
      <c r="N589">
        <v>225</v>
      </c>
      <c r="O589" s="3">
        <f t="shared" si="18"/>
        <v>17498475</v>
      </c>
      <c r="P589" s="3">
        <f t="shared" si="19"/>
        <v>17182815</v>
      </c>
    </row>
    <row r="590" spans="1:16">
      <c r="A590">
        <v>2020</v>
      </c>
      <c r="B590" t="s">
        <v>48</v>
      </c>
      <c r="C590" t="s">
        <v>44</v>
      </c>
      <c r="D590" t="s">
        <v>36</v>
      </c>
      <c r="E590" t="s">
        <v>19</v>
      </c>
      <c r="F590" t="s">
        <v>24</v>
      </c>
      <c r="G590" s="3">
        <v>87335</v>
      </c>
      <c r="H590" s="3">
        <v>200823</v>
      </c>
      <c r="I590">
        <v>195</v>
      </c>
      <c r="J590" s="3">
        <v>0.97</v>
      </c>
      <c r="K590">
        <v>6.29</v>
      </c>
      <c r="L590">
        <v>1.2</v>
      </c>
      <c r="M590">
        <v>5</v>
      </c>
      <c r="N590">
        <v>451</v>
      </c>
      <c r="O590" s="3">
        <f t="shared" si="18"/>
        <v>39388085</v>
      </c>
      <c r="P590" s="3">
        <f t="shared" si="19"/>
        <v>39187262</v>
      </c>
    </row>
    <row r="591" spans="1:16">
      <c r="A591">
        <v>2019</v>
      </c>
      <c r="B591" t="s">
        <v>49</v>
      </c>
      <c r="C591" t="s">
        <v>34</v>
      </c>
      <c r="D591" t="s">
        <v>39</v>
      </c>
      <c r="E591" t="s">
        <v>23</v>
      </c>
      <c r="F591" t="s">
        <v>20</v>
      </c>
      <c r="G591" s="3">
        <v>87949</v>
      </c>
      <c r="H591" s="3">
        <v>80373</v>
      </c>
      <c r="I591">
        <v>43</v>
      </c>
      <c r="J591" s="3">
        <v>0.97</v>
      </c>
      <c r="K591">
        <v>6.29</v>
      </c>
      <c r="L591">
        <v>1.2</v>
      </c>
      <c r="M591">
        <v>4</v>
      </c>
      <c r="N591">
        <v>265</v>
      </c>
      <c r="O591" s="3">
        <f t="shared" si="18"/>
        <v>23306485</v>
      </c>
      <c r="P591" s="3">
        <f t="shared" si="19"/>
        <v>23226112</v>
      </c>
    </row>
    <row r="592" spans="1:16">
      <c r="A592">
        <v>2019</v>
      </c>
      <c r="B592" t="s">
        <v>50</v>
      </c>
      <c r="C592" t="s">
        <v>34</v>
      </c>
      <c r="D592" t="s">
        <v>22</v>
      </c>
      <c r="E592" t="s">
        <v>23</v>
      </c>
      <c r="F592" t="s">
        <v>33</v>
      </c>
      <c r="G592" s="3">
        <v>105714</v>
      </c>
      <c r="H592" s="3">
        <v>172026</v>
      </c>
      <c r="I592">
        <v>300</v>
      </c>
      <c r="J592" s="3">
        <v>0.97</v>
      </c>
      <c r="K592">
        <v>6.29</v>
      </c>
      <c r="L592">
        <v>1.2</v>
      </c>
      <c r="M592">
        <v>7</v>
      </c>
      <c r="N592">
        <v>609</v>
      </c>
      <c r="O592" s="3">
        <f t="shared" si="18"/>
        <v>64379826</v>
      </c>
      <c r="P592" s="3">
        <f t="shared" si="19"/>
        <v>64207800</v>
      </c>
    </row>
    <row r="593" spans="1:16">
      <c r="A593">
        <v>2018</v>
      </c>
      <c r="B593" t="s">
        <v>43</v>
      </c>
      <c r="C593" t="s">
        <v>34</v>
      </c>
      <c r="D593" t="s">
        <v>52</v>
      </c>
      <c r="E593" t="s">
        <v>19</v>
      </c>
      <c r="F593" t="s">
        <v>28</v>
      </c>
      <c r="G593" s="3">
        <v>50240</v>
      </c>
      <c r="H593" s="3">
        <v>80270</v>
      </c>
      <c r="I593">
        <v>239</v>
      </c>
      <c r="J593" s="3">
        <v>0.97</v>
      </c>
      <c r="K593">
        <v>6.29</v>
      </c>
      <c r="L593">
        <v>1.2</v>
      </c>
      <c r="M593">
        <v>5</v>
      </c>
      <c r="N593">
        <v>703</v>
      </c>
      <c r="O593" s="3">
        <f t="shared" si="18"/>
        <v>35318720</v>
      </c>
      <c r="P593" s="3">
        <f t="shared" si="19"/>
        <v>35238450</v>
      </c>
    </row>
    <row r="594" spans="1:16">
      <c r="A594">
        <v>2017</v>
      </c>
      <c r="B594" t="s">
        <v>47</v>
      </c>
      <c r="C594" t="s">
        <v>44</v>
      </c>
      <c r="D594" t="s">
        <v>32</v>
      </c>
      <c r="E594" t="s">
        <v>19</v>
      </c>
      <c r="F594" t="s">
        <v>20</v>
      </c>
      <c r="G594" s="3">
        <v>37716</v>
      </c>
      <c r="H594" s="3">
        <v>453602</v>
      </c>
      <c r="I594">
        <v>140</v>
      </c>
      <c r="J594" s="3">
        <v>0.97</v>
      </c>
      <c r="K594">
        <v>6.29</v>
      </c>
      <c r="L594">
        <v>1.2</v>
      </c>
      <c r="M594">
        <v>8</v>
      </c>
      <c r="N594">
        <v>327</v>
      </c>
      <c r="O594" s="3">
        <f t="shared" si="18"/>
        <v>12333132</v>
      </c>
      <c r="P594" s="3">
        <f t="shared" si="19"/>
        <v>11879530</v>
      </c>
    </row>
    <row r="595" spans="1:16">
      <c r="A595">
        <v>2017</v>
      </c>
      <c r="B595" t="s">
        <v>53</v>
      </c>
      <c r="C595" t="s">
        <v>17</v>
      </c>
      <c r="D595" t="s">
        <v>42</v>
      </c>
      <c r="E595" t="s">
        <v>19</v>
      </c>
      <c r="F595" t="s">
        <v>28</v>
      </c>
      <c r="G595" s="3">
        <v>51574</v>
      </c>
      <c r="H595" s="3">
        <v>282931</v>
      </c>
      <c r="I595">
        <v>129</v>
      </c>
      <c r="J595" s="3">
        <v>0.97</v>
      </c>
      <c r="K595">
        <v>6.29</v>
      </c>
      <c r="L595">
        <v>1.2</v>
      </c>
      <c r="M595">
        <v>4</v>
      </c>
      <c r="N595">
        <v>591</v>
      </c>
      <c r="O595" s="3">
        <f t="shared" si="18"/>
        <v>30480234</v>
      </c>
      <c r="P595" s="3">
        <f t="shared" si="19"/>
        <v>30197303</v>
      </c>
    </row>
    <row r="596" spans="1:16">
      <c r="A596">
        <v>2018</v>
      </c>
      <c r="B596" t="s">
        <v>25</v>
      </c>
      <c r="C596" t="s">
        <v>46</v>
      </c>
      <c r="D596" t="s">
        <v>52</v>
      </c>
      <c r="E596" t="s">
        <v>19</v>
      </c>
      <c r="F596" t="s">
        <v>20</v>
      </c>
      <c r="G596" s="3">
        <v>118255</v>
      </c>
      <c r="H596" s="3">
        <v>245889</v>
      </c>
      <c r="I596">
        <v>335</v>
      </c>
      <c r="J596" s="3">
        <v>0.97</v>
      </c>
      <c r="K596">
        <v>6.29</v>
      </c>
      <c r="L596">
        <v>1.2</v>
      </c>
      <c r="M596">
        <v>6</v>
      </c>
      <c r="N596">
        <v>1069</v>
      </c>
      <c r="O596" s="3">
        <f t="shared" si="18"/>
        <v>126414595</v>
      </c>
      <c r="P596" s="3">
        <f t="shared" si="19"/>
        <v>126168706</v>
      </c>
    </row>
    <row r="597" spans="1:16">
      <c r="A597">
        <v>2023</v>
      </c>
      <c r="B597" t="s">
        <v>25</v>
      </c>
      <c r="C597" t="s">
        <v>38</v>
      </c>
      <c r="D597" t="s">
        <v>30</v>
      </c>
      <c r="E597" t="s">
        <v>23</v>
      </c>
      <c r="F597" t="s">
        <v>20</v>
      </c>
      <c r="G597" s="3">
        <v>108717</v>
      </c>
      <c r="H597" s="3">
        <v>115184</v>
      </c>
      <c r="I597">
        <v>256</v>
      </c>
      <c r="J597" s="3">
        <v>0.97</v>
      </c>
      <c r="K597">
        <v>6.29</v>
      </c>
      <c r="L597">
        <v>1.2</v>
      </c>
      <c r="M597">
        <v>4</v>
      </c>
      <c r="N597">
        <v>530</v>
      </c>
      <c r="O597" s="3">
        <f t="shared" si="18"/>
        <v>57620010</v>
      </c>
      <c r="P597" s="3">
        <f t="shared" si="19"/>
        <v>57504826</v>
      </c>
    </row>
    <row r="598" spans="1:16">
      <c r="A598">
        <v>2016</v>
      </c>
      <c r="B598" t="s">
        <v>37</v>
      </c>
      <c r="C598" t="s">
        <v>44</v>
      </c>
      <c r="D598" t="s">
        <v>27</v>
      </c>
      <c r="E598" t="s">
        <v>23</v>
      </c>
      <c r="F598" t="s">
        <v>24</v>
      </c>
      <c r="G598" s="3">
        <v>79066</v>
      </c>
      <c r="H598" s="3">
        <v>260765</v>
      </c>
      <c r="I598">
        <v>201</v>
      </c>
      <c r="J598" s="3">
        <v>0.97</v>
      </c>
      <c r="K598">
        <v>6.29</v>
      </c>
      <c r="L598">
        <v>1.2</v>
      </c>
      <c r="M598">
        <v>2</v>
      </c>
      <c r="N598">
        <v>587</v>
      </c>
      <c r="O598" s="3">
        <f t="shared" si="18"/>
        <v>46411742</v>
      </c>
      <c r="P598" s="3">
        <f t="shared" si="19"/>
        <v>46150977</v>
      </c>
    </row>
    <row r="599" spans="1:16">
      <c r="A599">
        <v>2023</v>
      </c>
      <c r="B599" t="s">
        <v>48</v>
      </c>
      <c r="C599" t="s">
        <v>40</v>
      </c>
      <c r="D599" t="s">
        <v>42</v>
      </c>
      <c r="E599" t="s">
        <v>19</v>
      </c>
      <c r="F599" t="s">
        <v>24</v>
      </c>
      <c r="G599" s="3">
        <v>96826</v>
      </c>
      <c r="H599" s="3">
        <v>87879</v>
      </c>
      <c r="I599">
        <v>332</v>
      </c>
      <c r="J599" s="3">
        <v>0.97</v>
      </c>
      <c r="K599">
        <v>6.29</v>
      </c>
      <c r="L599">
        <v>1.2</v>
      </c>
      <c r="M599">
        <v>1</v>
      </c>
      <c r="N599">
        <v>905</v>
      </c>
      <c r="O599" s="3">
        <f t="shared" si="18"/>
        <v>87627530</v>
      </c>
      <c r="P599" s="3">
        <f t="shared" si="19"/>
        <v>87539651</v>
      </c>
    </row>
    <row r="600" spans="1:16">
      <c r="A600">
        <v>2015</v>
      </c>
      <c r="B600" t="s">
        <v>35</v>
      </c>
      <c r="C600" t="s">
        <v>46</v>
      </c>
      <c r="D600" t="s">
        <v>32</v>
      </c>
      <c r="E600" t="s">
        <v>19</v>
      </c>
      <c r="F600" t="s">
        <v>20</v>
      </c>
      <c r="G600" s="3">
        <v>55213</v>
      </c>
      <c r="H600" s="3">
        <v>361741</v>
      </c>
      <c r="I600">
        <v>219</v>
      </c>
      <c r="J600" s="3">
        <v>0.97</v>
      </c>
      <c r="K600">
        <v>6.29</v>
      </c>
      <c r="L600">
        <v>1.2</v>
      </c>
      <c r="M600">
        <v>1</v>
      </c>
      <c r="N600">
        <v>717</v>
      </c>
      <c r="O600" s="3">
        <f t="shared" si="18"/>
        <v>39587721</v>
      </c>
      <c r="P600" s="3">
        <f t="shared" si="19"/>
        <v>39225980</v>
      </c>
    </row>
    <row r="601" spans="1:16">
      <c r="A601">
        <v>2015</v>
      </c>
      <c r="B601" t="s">
        <v>35</v>
      </c>
      <c r="C601" t="s">
        <v>40</v>
      </c>
      <c r="D601" t="s">
        <v>36</v>
      </c>
      <c r="E601" t="s">
        <v>19</v>
      </c>
      <c r="F601" t="s">
        <v>24</v>
      </c>
      <c r="G601" s="3">
        <v>106916</v>
      </c>
      <c r="H601" s="3">
        <v>482348</v>
      </c>
      <c r="I601">
        <v>112</v>
      </c>
      <c r="J601" s="3">
        <v>0.97</v>
      </c>
      <c r="K601">
        <v>6.29</v>
      </c>
      <c r="L601">
        <v>1.2</v>
      </c>
      <c r="M601">
        <v>8</v>
      </c>
      <c r="N601">
        <v>408</v>
      </c>
      <c r="O601" s="3">
        <f t="shared" si="18"/>
        <v>43621728</v>
      </c>
      <c r="P601" s="3">
        <f t="shared" si="19"/>
        <v>43139380</v>
      </c>
    </row>
    <row r="602" spans="1:16">
      <c r="A602">
        <v>2019</v>
      </c>
      <c r="B602" t="s">
        <v>35</v>
      </c>
      <c r="C602" t="s">
        <v>46</v>
      </c>
      <c r="D602" t="s">
        <v>42</v>
      </c>
      <c r="E602" t="s">
        <v>19</v>
      </c>
      <c r="F602" t="s">
        <v>20</v>
      </c>
      <c r="G602" s="3">
        <v>101151</v>
      </c>
      <c r="H602" s="3">
        <v>53626</v>
      </c>
      <c r="I602">
        <v>338</v>
      </c>
      <c r="J602" s="3">
        <v>0.97</v>
      </c>
      <c r="K602">
        <v>6.29</v>
      </c>
      <c r="L602">
        <v>1.2</v>
      </c>
      <c r="M602">
        <v>4</v>
      </c>
      <c r="N602">
        <v>976</v>
      </c>
      <c r="O602" s="3">
        <f t="shared" si="18"/>
        <v>98723376</v>
      </c>
      <c r="P602" s="3">
        <f t="shared" si="19"/>
        <v>98669750</v>
      </c>
    </row>
    <row r="603" spans="1:16">
      <c r="A603">
        <v>2020</v>
      </c>
      <c r="B603" t="s">
        <v>53</v>
      </c>
      <c r="C603" t="s">
        <v>17</v>
      </c>
      <c r="D603" t="s">
        <v>30</v>
      </c>
      <c r="E603" t="s">
        <v>23</v>
      </c>
      <c r="F603" t="s">
        <v>33</v>
      </c>
      <c r="G603" s="3">
        <v>85906</v>
      </c>
      <c r="H603" s="3">
        <v>135936</v>
      </c>
      <c r="I603">
        <v>381</v>
      </c>
      <c r="J603" s="3">
        <v>0.97</v>
      </c>
      <c r="K603">
        <v>6.29</v>
      </c>
      <c r="L603">
        <v>1.2</v>
      </c>
      <c r="M603">
        <v>5</v>
      </c>
      <c r="N603">
        <v>802</v>
      </c>
      <c r="O603" s="3">
        <f t="shared" si="18"/>
        <v>68896612</v>
      </c>
      <c r="P603" s="3">
        <f t="shared" si="19"/>
        <v>68760676</v>
      </c>
    </row>
    <row r="604" spans="1:16">
      <c r="A604">
        <v>2020</v>
      </c>
      <c r="B604" t="s">
        <v>35</v>
      </c>
      <c r="C604" t="s">
        <v>51</v>
      </c>
      <c r="D604" t="s">
        <v>39</v>
      </c>
      <c r="E604" t="s">
        <v>23</v>
      </c>
      <c r="F604" t="s">
        <v>24</v>
      </c>
      <c r="G604" s="3">
        <v>35463</v>
      </c>
      <c r="H604" s="3">
        <v>284873</v>
      </c>
      <c r="I604">
        <v>142</v>
      </c>
      <c r="J604" s="3">
        <v>0.97</v>
      </c>
      <c r="K604">
        <v>6.29</v>
      </c>
      <c r="L604">
        <v>1.2</v>
      </c>
      <c r="M604">
        <v>8</v>
      </c>
      <c r="N604">
        <v>644</v>
      </c>
      <c r="O604" s="3">
        <f t="shared" si="18"/>
        <v>22838172</v>
      </c>
      <c r="P604" s="3">
        <f t="shared" si="19"/>
        <v>22553299</v>
      </c>
    </row>
    <row r="605" spans="1:16">
      <c r="A605">
        <v>2017</v>
      </c>
      <c r="B605" t="s">
        <v>29</v>
      </c>
      <c r="C605" t="s">
        <v>40</v>
      </c>
      <c r="D605" t="s">
        <v>36</v>
      </c>
      <c r="E605" t="s">
        <v>19</v>
      </c>
      <c r="F605" t="s">
        <v>24</v>
      </c>
      <c r="G605" s="3">
        <v>66973</v>
      </c>
      <c r="H605" s="3">
        <v>131515</v>
      </c>
      <c r="I605">
        <v>332</v>
      </c>
      <c r="J605" s="3">
        <v>0.97</v>
      </c>
      <c r="K605">
        <v>6.29</v>
      </c>
      <c r="L605">
        <v>1.2</v>
      </c>
      <c r="M605">
        <v>7</v>
      </c>
      <c r="N605">
        <v>737</v>
      </c>
      <c r="O605" s="3">
        <f t="shared" si="18"/>
        <v>49359101</v>
      </c>
      <c r="P605" s="3">
        <f t="shared" si="19"/>
        <v>49227586</v>
      </c>
    </row>
    <row r="606" spans="1:16">
      <c r="A606">
        <v>2021</v>
      </c>
      <c r="B606" t="s">
        <v>16</v>
      </c>
      <c r="C606" t="s">
        <v>44</v>
      </c>
      <c r="D606" t="s">
        <v>52</v>
      </c>
      <c r="E606" t="s">
        <v>19</v>
      </c>
      <c r="F606" t="s">
        <v>24</v>
      </c>
      <c r="G606" s="3">
        <v>109694</v>
      </c>
      <c r="H606" s="3">
        <v>258137</v>
      </c>
      <c r="I606">
        <v>148</v>
      </c>
      <c r="J606" s="3">
        <v>0.97</v>
      </c>
      <c r="K606">
        <v>6.29</v>
      </c>
      <c r="L606">
        <v>1.2</v>
      </c>
      <c r="M606">
        <v>8</v>
      </c>
      <c r="N606">
        <v>410</v>
      </c>
      <c r="O606" s="3">
        <f t="shared" si="18"/>
        <v>44974540</v>
      </c>
      <c r="P606" s="3">
        <f t="shared" si="19"/>
        <v>44716403</v>
      </c>
    </row>
    <row r="607" spans="1:16">
      <c r="A607">
        <v>2023</v>
      </c>
      <c r="B607" t="s">
        <v>25</v>
      </c>
      <c r="C607" t="s">
        <v>46</v>
      </c>
      <c r="D607" t="s">
        <v>36</v>
      </c>
      <c r="E607" t="s">
        <v>19</v>
      </c>
      <c r="F607" t="s">
        <v>33</v>
      </c>
      <c r="G607" s="3">
        <v>55651</v>
      </c>
      <c r="H607" s="3">
        <v>105390</v>
      </c>
      <c r="I607">
        <v>130</v>
      </c>
      <c r="J607" s="3">
        <v>0.97</v>
      </c>
      <c r="K607">
        <v>6.29</v>
      </c>
      <c r="L607">
        <v>1.2</v>
      </c>
      <c r="M607">
        <v>8</v>
      </c>
      <c r="N607">
        <v>511</v>
      </c>
      <c r="O607" s="3">
        <f t="shared" si="18"/>
        <v>28437661</v>
      </c>
      <c r="P607" s="3">
        <f t="shared" si="19"/>
        <v>28332271</v>
      </c>
    </row>
    <row r="608" spans="1:16">
      <c r="A608">
        <v>2024</v>
      </c>
      <c r="B608" t="s">
        <v>48</v>
      </c>
      <c r="C608" t="s">
        <v>34</v>
      </c>
      <c r="D608" t="s">
        <v>18</v>
      </c>
      <c r="E608" t="s">
        <v>19</v>
      </c>
      <c r="F608" t="s">
        <v>20</v>
      </c>
      <c r="G608" s="3">
        <v>103694</v>
      </c>
      <c r="H608" s="3">
        <v>459861</v>
      </c>
      <c r="I608">
        <v>103</v>
      </c>
      <c r="J608" s="3">
        <v>0.97</v>
      </c>
      <c r="K608">
        <v>6.29</v>
      </c>
      <c r="L608">
        <v>1.2</v>
      </c>
      <c r="M608">
        <v>6</v>
      </c>
      <c r="N608">
        <v>527</v>
      </c>
      <c r="O608" s="3">
        <f t="shared" si="18"/>
        <v>54646738</v>
      </c>
      <c r="P608" s="3">
        <f t="shared" si="19"/>
        <v>54186877</v>
      </c>
    </row>
    <row r="609" spans="1:16">
      <c r="A609">
        <v>2022</v>
      </c>
      <c r="B609" t="s">
        <v>16</v>
      </c>
      <c r="C609" t="s">
        <v>31</v>
      </c>
      <c r="D609" t="s">
        <v>30</v>
      </c>
      <c r="E609" t="s">
        <v>23</v>
      </c>
      <c r="F609" t="s">
        <v>28</v>
      </c>
      <c r="G609" s="3">
        <v>55008</v>
      </c>
      <c r="H609" s="3">
        <v>273032</v>
      </c>
      <c r="I609">
        <v>138</v>
      </c>
      <c r="J609" s="3">
        <v>0.97</v>
      </c>
      <c r="K609">
        <v>6.29</v>
      </c>
      <c r="L609">
        <v>1.2</v>
      </c>
      <c r="M609">
        <v>10</v>
      </c>
      <c r="N609">
        <v>521</v>
      </c>
      <c r="O609" s="3">
        <f t="shared" si="18"/>
        <v>28659168</v>
      </c>
      <c r="P609" s="3">
        <f t="shared" si="19"/>
        <v>28386136</v>
      </c>
    </row>
    <row r="610" spans="1:16">
      <c r="A610">
        <v>2020</v>
      </c>
      <c r="B610" t="s">
        <v>43</v>
      </c>
      <c r="C610" t="s">
        <v>34</v>
      </c>
      <c r="D610" t="s">
        <v>42</v>
      </c>
      <c r="E610" t="s">
        <v>19</v>
      </c>
      <c r="F610" t="s">
        <v>24</v>
      </c>
      <c r="G610" s="3">
        <v>105474</v>
      </c>
      <c r="H610" s="3">
        <v>104144</v>
      </c>
      <c r="I610">
        <v>100</v>
      </c>
      <c r="J610" s="3">
        <v>0.97</v>
      </c>
      <c r="K610">
        <v>6.29</v>
      </c>
      <c r="L610">
        <v>1.2</v>
      </c>
      <c r="M610">
        <v>2</v>
      </c>
      <c r="N610">
        <v>355</v>
      </c>
      <c r="O610" s="3">
        <f t="shared" si="18"/>
        <v>37443270</v>
      </c>
      <c r="P610" s="3">
        <f t="shared" si="19"/>
        <v>37339126</v>
      </c>
    </row>
    <row r="611" spans="1:16">
      <c r="A611">
        <v>2022</v>
      </c>
      <c r="B611" t="s">
        <v>48</v>
      </c>
      <c r="C611" t="s">
        <v>26</v>
      </c>
      <c r="D611" t="s">
        <v>18</v>
      </c>
      <c r="E611" t="s">
        <v>19</v>
      </c>
      <c r="F611" t="s">
        <v>20</v>
      </c>
      <c r="G611" s="3">
        <v>73185</v>
      </c>
      <c r="H611" s="3">
        <v>194454</v>
      </c>
      <c r="I611">
        <v>101</v>
      </c>
      <c r="J611" s="3">
        <v>0.97</v>
      </c>
      <c r="K611">
        <v>6.29</v>
      </c>
      <c r="L611">
        <v>1.2</v>
      </c>
      <c r="M611">
        <v>6</v>
      </c>
      <c r="N611">
        <v>406</v>
      </c>
      <c r="O611" s="3">
        <f t="shared" si="18"/>
        <v>29713110</v>
      </c>
      <c r="P611" s="3">
        <f t="shared" si="19"/>
        <v>29518656</v>
      </c>
    </row>
    <row r="612" spans="1:16">
      <c r="A612">
        <v>2019</v>
      </c>
      <c r="B612" t="s">
        <v>16</v>
      </c>
      <c r="C612" t="s">
        <v>51</v>
      </c>
      <c r="D612" t="s">
        <v>36</v>
      </c>
      <c r="E612" t="s">
        <v>19</v>
      </c>
      <c r="F612" t="s">
        <v>33</v>
      </c>
      <c r="G612" s="3">
        <v>109417</v>
      </c>
      <c r="H612" s="3">
        <v>54025</v>
      </c>
      <c r="I612">
        <v>72</v>
      </c>
      <c r="J612" s="3">
        <v>0.97</v>
      </c>
      <c r="K612">
        <v>6.29</v>
      </c>
      <c r="L612">
        <v>1.2</v>
      </c>
      <c r="M612">
        <v>1</v>
      </c>
      <c r="N612">
        <v>250</v>
      </c>
      <c r="O612" s="3">
        <f t="shared" si="18"/>
        <v>27354250</v>
      </c>
      <c r="P612" s="3">
        <f t="shared" si="19"/>
        <v>27300225</v>
      </c>
    </row>
    <row r="613" spans="1:16">
      <c r="A613">
        <v>2022</v>
      </c>
      <c r="B613" t="s">
        <v>48</v>
      </c>
      <c r="C613" t="s">
        <v>51</v>
      </c>
      <c r="D613" t="s">
        <v>18</v>
      </c>
      <c r="E613" t="s">
        <v>19</v>
      </c>
      <c r="F613" t="s">
        <v>28</v>
      </c>
      <c r="G613" s="3">
        <v>106139</v>
      </c>
      <c r="H613" s="3">
        <v>486442</v>
      </c>
      <c r="I613">
        <v>38</v>
      </c>
      <c r="J613" s="3">
        <v>0.97</v>
      </c>
      <c r="K613">
        <v>6.29</v>
      </c>
      <c r="L613">
        <v>1.2</v>
      </c>
      <c r="M613">
        <v>1</v>
      </c>
      <c r="N613">
        <v>407</v>
      </c>
      <c r="O613" s="3">
        <f t="shared" si="18"/>
        <v>43198573</v>
      </c>
      <c r="P613" s="3">
        <f t="shared" si="19"/>
        <v>42712131</v>
      </c>
    </row>
    <row r="614" spans="1:16">
      <c r="A614">
        <v>2024</v>
      </c>
      <c r="B614" t="s">
        <v>43</v>
      </c>
      <c r="C614" t="s">
        <v>34</v>
      </c>
      <c r="D614" t="s">
        <v>41</v>
      </c>
      <c r="E614" t="s">
        <v>23</v>
      </c>
      <c r="F614" t="s">
        <v>24</v>
      </c>
      <c r="G614" s="3">
        <v>69980</v>
      </c>
      <c r="H614" s="3">
        <v>391524</v>
      </c>
      <c r="I614">
        <v>219</v>
      </c>
      <c r="J614" s="3">
        <v>0.97</v>
      </c>
      <c r="K614">
        <v>6.29</v>
      </c>
      <c r="L614">
        <v>1.2</v>
      </c>
      <c r="M614">
        <v>3</v>
      </c>
      <c r="N614">
        <v>914</v>
      </c>
      <c r="O614" s="3">
        <f t="shared" si="18"/>
        <v>63961720</v>
      </c>
      <c r="P614" s="3">
        <f t="shared" si="19"/>
        <v>63570196</v>
      </c>
    </row>
    <row r="615" spans="1:16">
      <c r="A615">
        <v>2018</v>
      </c>
      <c r="B615" t="s">
        <v>21</v>
      </c>
      <c r="C615" t="s">
        <v>38</v>
      </c>
      <c r="D615" t="s">
        <v>30</v>
      </c>
      <c r="E615" t="s">
        <v>23</v>
      </c>
      <c r="F615" t="s">
        <v>33</v>
      </c>
      <c r="G615" s="3">
        <v>57504</v>
      </c>
      <c r="H615" s="3">
        <v>304043</v>
      </c>
      <c r="I615">
        <v>21</v>
      </c>
      <c r="J615" s="3">
        <v>0.97</v>
      </c>
      <c r="K615">
        <v>6.29</v>
      </c>
      <c r="L615">
        <v>1.2</v>
      </c>
      <c r="M615">
        <v>3</v>
      </c>
      <c r="N615">
        <v>387</v>
      </c>
      <c r="O615" s="3">
        <f t="shared" si="18"/>
        <v>22254048</v>
      </c>
      <c r="P615" s="3">
        <f t="shared" si="19"/>
        <v>21950005</v>
      </c>
    </row>
    <row r="616" spans="1:16">
      <c r="A616">
        <v>2024</v>
      </c>
      <c r="B616" t="s">
        <v>29</v>
      </c>
      <c r="C616" t="s">
        <v>17</v>
      </c>
      <c r="D616" t="s">
        <v>22</v>
      </c>
      <c r="E616" t="s">
        <v>23</v>
      </c>
      <c r="F616" t="s">
        <v>33</v>
      </c>
      <c r="G616" s="3">
        <v>89970</v>
      </c>
      <c r="H616" s="3">
        <v>168910</v>
      </c>
      <c r="I616">
        <v>342</v>
      </c>
      <c r="J616" s="3">
        <v>0.97</v>
      </c>
      <c r="K616">
        <v>6.29</v>
      </c>
      <c r="L616">
        <v>1.2</v>
      </c>
      <c r="M616">
        <v>5</v>
      </c>
      <c r="N616">
        <v>798</v>
      </c>
      <c r="O616" s="3">
        <f t="shared" si="18"/>
        <v>71796060</v>
      </c>
      <c r="P616" s="3">
        <f t="shared" si="19"/>
        <v>71627150</v>
      </c>
    </row>
    <row r="617" spans="1:16">
      <c r="A617">
        <v>2022</v>
      </c>
      <c r="B617" t="s">
        <v>53</v>
      </c>
      <c r="C617" t="s">
        <v>40</v>
      </c>
      <c r="D617" t="s">
        <v>39</v>
      </c>
      <c r="E617" t="s">
        <v>23</v>
      </c>
      <c r="F617" t="s">
        <v>28</v>
      </c>
      <c r="G617" s="3">
        <v>51766</v>
      </c>
      <c r="H617" s="3">
        <v>146055</v>
      </c>
      <c r="I617">
        <v>306</v>
      </c>
      <c r="J617" s="3">
        <v>0.97</v>
      </c>
      <c r="K617">
        <v>6.29</v>
      </c>
      <c r="L617">
        <v>1.2</v>
      </c>
      <c r="M617">
        <v>1</v>
      </c>
      <c r="N617">
        <v>1027</v>
      </c>
      <c r="O617" s="3">
        <f t="shared" si="18"/>
        <v>53163682</v>
      </c>
      <c r="P617" s="3">
        <f t="shared" si="19"/>
        <v>53017627</v>
      </c>
    </row>
    <row r="618" spans="1:16">
      <c r="A618">
        <v>2024</v>
      </c>
      <c r="B618" t="s">
        <v>53</v>
      </c>
      <c r="C618" t="s">
        <v>44</v>
      </c>
      <c r="D618" t="s">
        <v>36</v>
      </c>
      <c r="E618" t="s">
        <v>19</v>
      </c>
      <c r="F618" t="s">
        <v>20</v>
      </c>
      <c r="G618" s="3">
        <v>46695</v>
      </c>
      <c r="H618" s="3">
        <v>438333</v>
      </c>
      <c r="I618">
        <v>139</v>
      </c>
      <c r="J618" s="3">
        <v>0.97</v>
      </c>
      <c r="K618">
        <v>6.29</v>
      </c>
      <c r="L618">
        <v>1.2</v>
      </c>
      <c r="M618">
        <v>10</v>
      </c>
      <c r="N618">
        <v>314</v>
      </c>
      <c r="O618" s="3">
        <f t="shared" si="18"/>
        <v>14662230</v>
      </c>
      <c r="P618" s="3">
        <f t="shared" si="19"/>
        <v>14223897</v>
      </c>
    </row>
    <row r="619" spans="1:16">
      <c r="A619">
        <v>2016</v>
      </c>
      <c r="B619" t="s">
        <v>25</v>
      </c>
      <c r="C619" t="s">
        <v>51</v>
      </c>
      <c r="D619" t="s">
        <v>30</v>
      </c>
      <c r="E619" t="s">
        <v>23</v>
      </c>
      <c r="F619" t="s">
        <v>24</v>
      </c>
      <c r="G619" s="3">
        <v>52796</v>
      </c>
      <c r="H619" s="3">
        <v>255782</v>
      </c>
      <c r="I619">
        <v>302</v>
      </c>
      <c r="J619" s="3">
        <v>0.97</v>
      </c>
      <c r="K619">
        <v>6.29</v>
      </c>
      <c r="L619">
        <v>1.2</v>
      </c>
      <c r="M619">
        <v>6</v>
      </c>
      <c r="N619">
        <v>953</v>
      </c>
      <c r="O619" s="3">
        <f t="shared" si="18"/>
        <v>50314588</v>
      </c>
      <c r="P619" s="3">
        <f t="shared" si="19"/>
        <v>50058806</v>
      </c>
    </row>
    <row r="620" spans="1:16">
      <c r="A620">
        <v>2019</v>
      </c>
      <c r="B620" t="s">
        <v>35</v>
      </c>
      <c r="C620" t="s">
        <v>34</v>
      </c>
      <c r="D620" t="s">
        <v>22</v>
      </c>
      <c r="E620" t="s">
        <v>23</v>
      </c>
      <c r="F620" t="s">
        <v>24</v>
      </c>
      <c r="G620" s="3">
        <v>77543</v>
      </c>
      <c r="H620" s="3">
        <v>446659</v>
      </c>
      <c r="I620">
        <v>182</v>
      </c>
      <c r="J620" s="3">
        <v>0.97</v>
      </c>
      <c r="K620">
        <v>6.29</v>
      </c>
      <c r="L620">
        <v>1.2</v>
      </c>
      <c r="M620">
        <v>7</v>
      </c>
      <c r="N620">
        <v>797</v>
      </c>
      <c r="O620" s="3">
        <f t="shared" si="18"/>
        <v>61801771</v>
      </c>
      <c r="P620" s="3">
        <f t="shared" si="19"/>
        <v>61355112</v>
      </c>
    </row>
    <row r="621" spans="1:16">
      <c r="A621">
        <v>2023</v>
      </c>
      <c r="B621" t="s">
        <v>29</v>
      </c>
      <c r="C621" t="s">
        <v>34</v>
      </c>
      <c r="D621" t="s">
        <v>22</v>
      </c>
      <c r="E621" t="s">
        <v>23</v>
      </c>
      <c r="F621" t="s">
        <v>20</v>
      </c>
      <c r="G621" s="3">
        <v>49559</v>
      </c>
      <c r="H621" s="3">
        <v>333539</v>
      </c>
      <c r="I621">
        <v>217</v>
      </c>
      <c r="J621" s="3">
        <v>0.97</v>
      </c>
      <c r="K621">
        <v>6.29</v>
      </c>
      <c r="L621">
        <v>1.2</v>
      </c>
      <c r="M621">
        <v>10</v>
      </c>
      <c r="N621">
        <v>668</v>
      </c>
      <c r="O621" s="3">
        <f t="shared" si="18"/>
        <v>33105412</v>
      </c>
      <c r="P621" s="3">
        <f t="shared" si="19"/>
        <v>32771873</v>
      </c>
    </row>
    <row r="622" spans="1:16">
      <c r="A622">
        <v>2018</v>
      </c>
      <c r="B622" t="s">
        <v>49</v>
      </c>
      <c r="C622" t="s">
        <v>17</v>
      </c>
      <c r="D622" t="s">
        <v>32</v>
      </c>
      <c r="E622" t="s">
        <v>19</v>
      </c>
      <c r="F622" t="s">
        <v>20</v>
      </c>
      <c r="G622" s="3">
        <v>68139</v>
      </c>
      <c r="H622" s="3">
        <v>322869</v>
      </c>
      <c r="I622">
        <v>33</v>
      </c>
      <c r="J622" s="3">
        <v>0.97</v>
      </c>
      <c r="K622">
        <v>6.29</v>
      </c>
      <c r="L622">
        <v>1.2</v>
      </c>
      <c r="M622">
        <v>3</v>
      </c>
      <c r="N622">
        <v>459</v>
      </c>
      <c r="O622" s="3">
        <f t="shared" si="18"/>
        <v>31275801</v>
      </c>
      <c r="P622" s="3">
        <f t="shared" si="19"/>
        <v>30952932</v>
      </c>
    </row>
    <row r="623" spans="1:16">
      <c r="A623">
        <v>2020</v>
      </c>
      <c r="B623" t="s">
        <v>35</v>
      </c>
      <c r="C623" t="s">
        <v>17</v>
      </c>
      <c r="D623" t="s">
        <v>18</v>
      </c>
      <c r="E623" t="s">
        <v>19</v>
      </c>
      <c r="F623" t="s">
        <v>20</v>
      </c>
      <c r="G623" s="3">
        <v>43802</v>
      </c>
      <c r="H623" s="3">
        <v>83461</v>
      </c>
      <c r="I623">
        <v>108</v>
      </c>
      <c r="J623" s="3">
        <v>0.97</v>
      </c>
      <c r="K623">
        <v>6.29</v>
      </c>
      <c r="L623">
        <v>1.2</v>
      </c>
      <c r="M623">
        <v>4</v>
      </c>
      <c r="N623">
        <v>637</v>
      </c>
      <c r="O623" s="3">
        <f t="shared" si="18"/>
        <v>27901874</v>
      </c>
      <c r="P623" s="3">
        <f t="shared" si="19"/>
        <v>27818413</v>
      </c>
    </row>
    <row r="624" spans="1:16">
      <c r="A624">
        <v>2015</v>
      </c>
      <c r="B624" t="s">
        <v>25</v>
      </c>
      <c r="C624" t="s">
        <v>45</v>
      </c>
      <c r="D624" t="s">
        <v>22</v>
      </c>
      <c r="E624" t="s">
        <v>23</v>
      </c>
      <c r="F624" t="s">
        <v>28</v>
      </c>
      <c r="G624" s="3">
        <v>108843</v>
      </c>
      <c r="H624" s="3">
        <v>308072</v>
      </c>
      <c r="I624">
        <v>365</v>
      </c>
      <c r="J624" s="3">
        <v>0.97</v>
      </c>
      <c r="K624">
        <v>6.29</v>
      </c>
      <c r="L624">
        <v>1.2</v>
      </c>
      <c r="M624">
        <v>10</v>
      </c>
      <c r="N624">
        <v>822</v>
      </c>
      <c r="O624" s="3">
        <f t="shared" si="18"/>
        <v>89468946</v>
      </c>
      <c r="P624" s="3">
        <f t="shared" si="19"/>
        <v>89160874</v>
      </c>
    </row>
    <row r="625" spans="1:16">
      <c r="A625">
        <v>2023</v>
      </c>
      <c r="B625" t="s">
        <v>50</v>
      </c>
      <c r="C625" t="s">
        <v>45</v>
      </c>
      <c r="D625" t="s">
        <v>41</v>
      </c>
      <c r="E625" t="s">
        <v>23</v>
      </c>
      <c r="F625" t="s">
        <v>28</v>
      </c>
      <c r="G625" s="3">
        <v>75205</v>
      </c>
      <c r="H625" s="3">
        <v>91115</v>
      </c>
      <c r="I625">
        <v>148</v>
      </c>
      <c r="J625" s="3">
        <v>0.97</v>
      </c>
      <c r="K625">
        <v>6.29</v>
      </c>
      <c r="L625">
        <v>1.2</v>
      </c>
      <c r="M625">
        <v>10</v>
      </c>
      <c r="N625">
        <v>309</v>
      </c>
      <c r="O625" s="3">
        <f t="shared" si="18"/>
        <v>23238345</v>
      </c>
      <c r="P625" s="3">
        <f t="shared" si="19"/>
        <v>23147230</v>
      </c>
    </row>
    <row r="626" spans="1:16">
      <c r="A626">
        <v>2015</v>
      </c>
      <c r="B626" t="s">
        <v>29</v>
      </c>
      <c r="C626" t="s">
        <v>38</v>
      </c>
      <c r="D626" t="s">
        <v>30</v>
      </c>
      <c r="E626" t="s">
        <v>23</v>
      </c>
      <c r="F626" t="s">
        <v>24</v>
      </c>
      <c r="G626" s="3">
        <v>69159</v>
      </c>
      <c r="H626" s="3">
        <v>160084</v>
      </c>
      <c r="I626">
        <v>323</v>
      </c>
      <c r="J626" s="3">
        <v>0.97</v>
      </c>
      <c r="K626">
        <v>6.29</v>
      </c>
      <c r="L626">
        <v>1.2</v>
      </c>
      <c r="M626">
        <v>10</v>
      </c>
      <c r="N626">
        <v>994</v>
      </c>
      <c r="O626" s="3">
        <f t="shared" si="18"/>
        <v>68744046</v>
      </c>
      <c r="P626" s="3">
        <f t="shared" si="19"/>
        <v>68583962</v>
      </c>
    </row>
    <row r="627" spans="1:16">
      <c r="A627">
        <v>2019</v>
      </c>
      <c r="B627" t="s">
        <v>16</v>
      </c>
      <c r="C627" t="s">
        <v>38</v>
      </c>
      <c r="D627" t="s">
        <v>27</v>
      </c>
      <c r="E627" t="s">
        <v>23</v>
      </c>
      <c r="F627" t="s">
        <v>28</v>
      </c>
      <c r="G627" s="3">
        <v>46516</v>
      </c>
      <c r="H627" s="3">
        <v>395876</v>
      </c>
      <c r="I627">
        <v>183</v>
      </c>
      <c r="J627" s="3">
        <v>0.97</v>
      </c>
      <c r="K627">
        <v>6.29</v>
      </c>
      <c r="L627">
        <v>1.2</v>
      </c>
      <c r="M627">
        <v>10</v>
      </c>
      <c r="N627">
        <v>496</v>
      </c>
      <c r="O627" s="3">
        <f t="shared" si="18"/>
        <v>23071936</v>
      </c>
      <c r="P627" s="3">
        <f t="shared" si="19"/>
        <v>22676060</v>
      </c>
    </row>
    <row r="628" spans="1:16">
      <c r="A628">
        <v>2018</v>
      </c>
      <c r="B628" t="s">
        <v>48</v>
      </c>
      <c r="C628" t="s">
        <v>26</v>
      </c>
      <c r="D628" t="s">
        <v>27</v>
      </c>
      <c r="E628" t="s">
        <v>23</v>
      </c>
      <c r="F628" t="s">
        <v>33</v>
      </c>
      <c r="G628" s="3">
        <v>85492</v>
      </c>
      <c r="H628" s="3">
        <v>391701</v>
      </c>
      <c r="I628">
        <v>38</v>
      </c>
      <c r="J628" s="3">
        <v>0.97</v>
      </c>
      <c r="K628">
        <v>6.29</v>
      </c>
      <c r="L628">
        <v>1.2</v>
      </c>
      <c r="M628">
        <v>10</v>
      </c>
      <c r="N628">
        <v>354</v>
      </c>
      <c r="O628" s="3">
        <f t="shared" si="18"/>
        <v>30264168</v>
      </c>
      <c r="P628" s="3">
        <f t="shared" si="19"/>
        <v>29872467</v>
      </c>
    </row>
    <row r="629" spans="1:16">
      <c r="A629">
        <v>2017</v>
      </c>
      <c r="B629" t="s">
        <v>49</v>
      </c>
      <c r="C629" t="s">
        <v>38</v>
      </c>
      <c r="D629" t="s">
        <v>36</v>
      </c>
      <c r="E629" t="s">
        <v>19</v>
      </c>
      <c r="F629" t="s">
        <v>24</v>
      </c>
      <c r="G629" s="3">
        <v>64086</v>
      </c>
      <c r="H629" s="3">
        <v>383404</v>
      </c>
      <c r="I629">
        <v>152</v>
      </c>
      <c r="J629" s="3">
        <v>0.97</v>
      </c>
      <c r="K629">
        <v>6.29</v>
      </c>
      <c r="L629">
        <v>1.2</v>
      </c>
      <c r="M629">
        <v>3</v>
      </c>
      <c r="N629">
        <v>381</v>
      </c>
      <c r="O629" s="3">
        <f t="shared" si="18"/>
        <v>24416766</v>
      </c>
      <c r="P629" s="3">
        <f t="shared" si="19"/>
        <v>24033362</v>
      </c>
    </row>
    <row r="630" spans="1:16">
      <c r="A630">
        <v>2020</v>
      </c>
      <c r="B630" t="s">
        <v>29</v>
      </c>
      <c r="C630" t="s">
        <v>46</v>
      </c>
      <c r="D630" t="s">
        <v>52</v>
      </c>
      <c r="E630" t="s">
        <v>19</v>
      </c>
      <c r="F630" t="s">
        <v>28</v>
      </c>
      <c r="G630" s="3">
        <v>65480</v>
      </c>
      <c r="H630" s="3">
        <v>209762</v>
      </c>
      <c r="I630">
        <v>325</v>
      </c>
      <c r="J630" s="3">
        <v>0.97</v>
      </c>
      <c r="K630">
        <v>6.29</v>
      </c>
      <c r="L630">
        <v>1.2</v>
      </c>
      <c r="M630">
        <v>1</v>
      </c>
      <c r="N630">
        <v>984</v>
      </c>
      <c r="O630" s="3">
        <f t="shared" si="18"/>
        <v>64432320</v>
      </c>
      <c r="P630" s="3">
        <f t="shared" si="19"/>
        <v>64222558</v>
      </c>
    </row>
    <row r="631" spans="1:16">
      <c r="A631">
        <v>2016</v>
      </c>
      <c r="B631" t="s">
        <v>43</v>
      </c>
      <c r="C631" t="s">
        <v>17</v>
      </c>
      <c r="D631" t="s">
        <v>18</v>
      </c>
      <c r="E631" t="s">
        <v>19</v>
      </c>
      <c r="F631" t="s">
        <v>20</v>
      </c>
      <c r="G631" s="3">
        <v>87091</v>
      </c>
      <c r="H631" s="3">
        <v>313551</v>
      </c>
      <c r="I631">
        <v>360</v>
      </c>
      <c r="J631" s="3">
        <v>0.97</v>
      </c>
      <c r="K631">
        <v>6.29</v>
      </c>
      <c r="L631">
        <v>1.2</v>
      </c>
      <c r="M631">
        <v>8</v>
      </c>
      <c r="N631">
        <v>829</v>
      </c>
      <c r="O631" s="3">
        <f t="shared" si="18"/>
        <v>72198439</v>
      </c>
      <c r="P631" s="3">
        <f t="shared" si="19"/>
        <v>71884888</v>
      </c>
    </row>
    <row r="632" spans="1:16">
      <c r="A632">
        <v>2017</v>
      </c>
      <c r="B632" t="s">
        <v>50</v>
      </c>
      <c r="C632" t="s">
        <v>44</v>
      </c>
      <c r="D632" t="s">
        <v>52</v>
      </c>
      <c r="E632" t="s">
        <v>19</v>
      </c>
      <c r="F632" t="s">
        <v>33</v>
      </c>
      <c r="G632" s="3">
        <v>82766</v>
      </c>
      <c r="H632" s="3">
        <v>123568</v>
      </c>
      <c r="I632">
        <v>51</v>
      </c>
      <c r="J632" s="3">
        <v>0.97</v>
      </c>
      <c r="K632">
        <v>6.29</v>
      </c>
      <c r="L632">
        <v>1.2</v>
      </c>
      <c r="M632">
        <v>10</v>
      </c>
      <c r="N632">
        <v>106</v>
      </c>
      <c r="O632" s="3">
        <f t="shared" si="18"/>
        <v>8773196</v>
      </c>
      <c r="P632" s="3">
        <f t="shared" si="19"/>
        <v>8649628</v>
      </c>
    </row>
    <row r="633" spans="1:16">
      <c r="A633">
        <v>2019</v>
      </c>
      <c r="B633" t="s">
        <v>43</v>
      </c>
      <c r="C633" t="s">
        <v>46</v>
      </c>
      <c r="D633" t="s">
        <v>22</v>
      </c>
      <c r="E633" t="s">
        <v>23</v>
      </c>
      <c r="F633" t="s">
        <v>20</v>
      </c>
      <c r="G633" s="3">
        <v>73737</v>
      </c>
      <c r="H633" s="3">
        <v>108560</v>
      </c>
      <c r="I633">
        <v>308</v>
      </c>
      <c r="J633" s="3">
        <v>0.97</v>
      </c>
      <c r="K633">
        <v>6.29</v>
      </c>
      <c r="L633">
        <v>1.2</v>
      </c>
      <c r="M633">
        <v>10</v>
      </c>
      <c r="N633">
        <v>720</v>
      </c>
      <c r="O633" s="3">
        <f t="shared" si="18"/>
        <v>53090640</v>
      </c>
      <c r="P633" s="3">
        <f t="shared" si="19"/>
        <v>52982080</v>
      </c>
    </row>
    <row r="634" spans="1:16">
      <c r="A634">
        <v>2023</v>
      </c>
      <c r="B634" t="s">
        <v>53</v>
      </c>
      <c r="C634" t="s">
        <v>40</v>
      </c>
      <c r="D634" t="s">
        <v>30</v>
      </c>
      <c r="E634" t="s">
        <v>23</v>
      </c>
      <c r="F634" t="s">
        <v>24</v>
      </c>
      <c r="G634" s="3">
        <v>44265</v>
      </c>
      <c r="H634" s="3">
        <v>490556</v>
      </c>
      <c r="I634">
        <v>217</v>
      </c>
      <c r="J634" s="3">
        <v>0.97</v>
      </c>
      <c r="K634">
        <v>6.29</v>
      </c>
      <c r="L634">
        <v>1.2</v>
      </c>
      <c r="M634">
        <v>2</v>
      </c>
      <c r="N634">
        <v>835</v>
      </c>
      <c r="O634" s="3">
        <f t="shared" si="18"/>
        <v>36961275</v>
      </c>
      <c r="P634" s="3">
        <f t="shared" si="19"/>
        <v>36470719</v>
      </c>
    </row>
    <row r="635" spans="1:16">
      <c r="A635">
        <v>2016</v>
      </c>
      <c r="B635" t="s">
        <v>53</v>
      </c>
      <c r="C635" t="s">
        <v>34</v>
      </c>
      <c r="D635" t="s">
        <v>36</v>
      </c>
      <c r="E635" t="s">
        <v>19</v>
      </c>
      <c r="F635" t="s">
        <v>20</v>
      </c>
      <c r="G635" s="3">
        <v>105990</v>
      </c>
      <c r="H635" s="3">
        <v>198866</v>
      </c>
      <c r="I635">
        <v>339</v>
      </c>
      <c r="J635" s="3">
        <v>0.97</v>
      </c>
      <c r="K635">
        <v>6.29</v>
      </c>
      <c r="L635">
        <v>1.2</v>
      </c>
      <c r="M635">
        <v>1</v>
      </c>
      <c r="N635">
        <v>1024</v>
      </c>
      <c r="O635" s="3">
        <f t="shared" si="18"/>
        <v>108533760</v>
      </c>
      <c r="P635" s="3">
        <f t="shared" si="19"/>
        <v>108334894</v>
      </c>
    </row>
    <row r="636" spans="1:16">
      <c r="A636">
        <v>2024</v>
      </c>
      <c r="B636" t="s">
        <v>35</v>
      </c>
      <c r="C636" t="s">
        <v>38</v>
      </c>
      <c r="D636" t="s">
        <v>42</v>
      </c>
      <c r="E636" t="s">
        <v>19</v>
      </c>
      <c r="F636" t="s">
        <v>28</v>
      </c>
      <c r="G636" s="3">
        <v>50386</v>
      </c>
      <c r="H636" s="3">
        <v>200953</v>
      </c>
      <c r="I636">
        <v>201</v>
      </c>
      <c r="J636" s="3">
        <v>0.97</v>
      </c>
      <c r="K636">
        <v>6.29</v>
      </c>
      <c r="L636">
        <v>1.2</v>
      </c>
      <c r="M636">
        <v>8</v>
      </c>
      <c r="N636">
        <v>815</v>
      </c>
      <c r="O636" s="3">
        <f t="shared" si="18"/>
        <v>41064590</v>
      </c>
      <c r="P636" s="3">
        <f t="shared" si="19"/>
        <v>40863637</v>
      </c>
    </row>
    <row r="637" spans="1:16">
      <c r="A637">
        <v>2022</v>
      </c>
      <c r="B637" t="s">
        <v>16</v>
      </c>
      <c r="C637" t="s">
        <v>34</v>
      </c>
      <c r="D637" t="s">
        <v>22</v>
      </c>
      <c r="E637" t="s">
        <v>23</v>
      </c>
      <c r="F637" t="s">
        <v>28</v>
      </c>
      <c r="G637" s="3">
        <v>72425</v>
      </c>
      <c r="H637" s="3">
        <v>267364</v>
      </c>
      <c r="I637">
        <v>169</v>
      </c>
      <c r="J637" s="3">
        <v>0.97</v>
      </c>
      <c r="K637">
        <v>6.29</v>
      </c>
      <c r="L637">
        <v>1.2</v>
      </c>
      <c r="M637">
        <v>7</v>
      </c>
      <c r="N637">
        <v>719</v>
      </c>
      <c r="O637" s="3">
        <f t="shared" si="18"/>
        <v>52073575</v>
      </c>
      <c r="P637" s="3">
        <f t="shared" si="19"/>
        <v>51806211</v>
      </c>
    </row>
    <row r="638" spans="1:16">
      <c r="A638">
        <v>2016</v>
      </c>
      <c r="B638" t="s">
        <v>49</v>
      </c>
      <c r="C638" t="s">
        <v>51</v>
      </c>
      <c r="D638" t="s">
        <v>18</v>
      </c>
      <c r="E638" t="s">
        <v>19</v>
      </c>
      <c r="F638" t="s">
        <v>24</v>
      </c>
      <c r="G638" s="3">
        <v>78254</v>
      </c>
      <c r="H638" s="3">
        <v>286770</v>
      </c>
      <c r="I638">
        <v>73</v>
      </c>
      <c r="J638" s="3">
        <v>0.97</v>
      </c>
      <c r="K638">
        <v>6.29</v>
      </c>
      <c r="L638">
        <v>1.2</v>
      </c>
      <c r="M638">
        <v>7</v>
      </c>
      <c r="N638">
        <v>377</v>
      </c>
      <c r="O638" s="3">
        <f t="shared" si="18"/>
        <v>29501758</v>
      </c>
      <c r="P638" s="3">
        <f t="shared" si="19"/>
        <v>29214988</v>
      </c>
    </row>
    <row r="639" spans="1:16">
      <c r="A639">
        <v>2019</v>
      </c>
      <c r="B639" t="s">
        <v>47</v>
      </c>
      <c r="C639" t="s">
        <v>26</v>
      </c>
      <c r="D639" t="s">
        <v>27</v>
      </c>
      <c r="E639" t="s">
        <v>23</v>
      </c>
      <c r="F639" t="s">
        <v>20</v>
      </c>
      <c r="G639" s="3">
        <v>88634</v>
      </c>
      <c r="H639" s="3">
        <v>276024</v>
      </c>
      <c r="I639">
        <v>252</v>
      </c>
      <c r="J639" s="3">
        <v>0.97</v>
      </c>
      <c r="K639">
        <v>6.29</v>
      </c>
      <c r="L639">
        <v>1.2</v>
      </c>
      <c r="M639">
        <v>4</v>
      </c>
      <c r="N639">
        <v>663</v>
      </c>
      <c r="O639" s="3">
        <f t="shared" si="18"/>
        <v>58764342</v>
      </c>
      <c r="P639" s="3">
        <f t="shared" si="19"/>
        <v>58488318</v>
      </c>
    </row>
    <row r="640" spans="1:16">
      <c r="A640">
        <v>2021</v>
      </c>
      <c r="B640" t="s">
        <v>50</v>
      </c>
      <c r="C640" t="s">
        <v>51</v>
      </c>
      <c r="D640" t="s">
        <v>32</v>
      </c>
      <c r="E640" t="s">
        <v>19</v>
      </c>
      <c r="F640" t="s">
        <v>24</v>
      </c>
      <c r="G640" s="3">
        <v>82662</v>
      </c>
      <c r="H640" s="3">
        <v>230775</v>
      </c>
      <c r="I640">
        <v>267</v>
      </c>
      <c r="J640" s="3">
        <v>0.97</v>
      </c>
      <c r="K640">
        <v>6.29</v>
      </c>
      <c r="L640">
        <v>1.2</v>
      </c>
      <c r="M640">
        <v>9</v>
      </c>
      <c r="N640">
        <v>641</v>
      </c>
      <c r="O640" s="3">
        <f t="shared" si="18"/>
        <v>52986342</v>
      </c>
      <c r="P640" s="3">
        <f t="shared" si="19"/>
        <v>52755567</v>
      </c>
    </row>
    <row r="641" spans="1:16">
      <c r="A641">
        <v>2022</v>
      </c>
      <c r="B641" t="s">
        <v>50</v>
      </c>
      <c r="C641" t="s">
        <v>26</v>
      </c>
      <c r="D641" t="s">
        <v>30</v>
      </c>
      <c r="E641" t="s">
        <v>23</v>
      </c>
      <c r="F641" t="s">
        <v>20</v>
      </c>
      <c r="G641" s="3">
        <v>110452</v>
      </c>
      <c r="H641" s="3">
        <v>487570</v>
      </c>
      <c r="I641">
        <v>161</v>
      </c>
      <c r="J641" s="3">
        <v>0.97</v>
      </c>
      <c r="K641">
        <v>6.29</v>
      </c>
      <c r="L641">
        <v>1.2</v>
      </c>
      <c r="M641">
        <v>6</v>
      </c>
      <c r="N641">
        <v>415</v>
      </c>
      <c r="O641" s="3">
        <f t="shared" si="18"/>
        <v>45837580</v>
      </c>
      <c r="P641" s="3">
        <f t="shared" si="19"/>
        <v>45350010</v>
      </c>
    </row>
    <row r="642" spans="1:16">
      <c r="A642">
        <v>2015</v>
      </c>
      <c r="B642" t="s">
        <v>29</v>
      </c>
      <c r="C642" t="s">
        <v>45</v>
      </c>
      <c r="D642" t="s">
        <v>39</v>
      </c>
      <c r="E642" t="s">
        <v>23</v>
      </c>
      <c r="F642" t="s">
        <v>33</v>
      </c>
      <c r="G642" s="3">
        <v>45143</v>
      </c>
      <c r="H642" s="3">
        <v>141288</v>
      </c>
      <c r="I642">
        <v>224</v>
      </c>
      <c r="J642" s="3">
        <v>0.97</v>
      </c>
      <c r="K642">
        <v>6.29</v>
      </c>
      <c r="L642">
        <v>1.2</v>
      </c>
      <c r="M642">
        <v>2</v>
      </c>
      <c r="N642">
        <v>651</v>
      </c>
      <c r="O642" s="3">
        <f t="shared" si="18"/>
        <v>29388093</v>
      </c>
      <c r="P642" s="3">
        <f t="shared" si="19"/>
        <v>29246805</v>
      </c>
    </row>
    <row r="643" spans="1:16">
      <c r="A643">
        <v>2020</v>
      </c>
      <c r="B643" t="s">
        <v>35</v>
      </c>
      <c r="C643" t="s">
        <v>34</v>
      </c>
      <c r="D643" t="s">
        <v>52</v>
      </c>
      <c r="E643" t="s">
        <v>19</v>
      </c>
      <c r="F643" t="s">
        <v>28</v>
      </c>
      <c r="G643" s="3">
        <v>50581</v>
      </c>
      <c r="H643" s="3">
        <v>431164</v>
      </c>
      <c r="I643">
        <v>331</v>
      </c>
      <c r="J643" s="3">
        <v>0.97</v>
      </c>
      <c r="K643">
        <v>6.29</v>
      </c>
      <c r="L643">
        <v>1.2</v>
      </c>
      <c r="M643">
        <v>1</v>
      </c>
      <c r="N643">
        <v>877</v>
      </c>
      <c r="O643" s="3">
        <f t="shared" ref="O643:O706" si="20">N643*G643</f>
        <v>44359537</v>
      </c>
      <c r="P643" s="3">
        <f t="shared" ref="P643:P706" si="21">O643-H643</f>
        <v>43928373</v>
      </c>
    </row>
    <row r="644" spans="1:16">
      <c r="A644">
        <v>2015</v>
      </c>
      <c r="B644" t="s">
        <v>53</v>
      </c>
      <c r="C644" t="s">
        <v>26</v>
      </c>
      <c r="D644" t="s">
        <v>36</v>
      </c>
      <c r="E644" t="s">
        <v>19</v>
      </c>
      <c r="F644" t="s">
        <v>24</v>
      </c>
      <c r="G644" s="3">
        <v>102443</v>
      </c>
      <c r="H644" s="3">
        <v>411445</v>
      </c>
      <c r="I644">
        <v>175</v>
      </c>
      <c r="J644" s="3">
        <v>0.97</v>
      </c>
      <c r="K644">
        <v>6.29</v>
      </c>
      <c r="L644">
        <v>1.2</v>
      </c>
      <c r="M644">
        <v>1</v>
      </c>
      <c r="N644">
        <v>533</v>
      </c>
      <c r="O644" s="3">
        <f t="shared" si="20"/>
        <v>54602119</v>
      </c>
      <c r="P644" s="3">
        <f t="shared" si="21"/>
        <v>54190674</v>
      </c>
    </row>
    <row r="645" spans="1:16">
      <c r="A645">
        <v>2016</v>
      </c>
      <c r="B645" t="s">
        <v>35</v>
      </c>
      <c r="C645" t="s">
        <v>31</v>
      </c>
      <c r="D645" t="s">
        <v>52</v>
      </c>
      <c r="E645" t="s">
        <v>19</v>
      </c>
      <c r="F645" t="s">
        <v>33</v>
      </c>
      <c r="G645" s="3">
        <v>64424</v>
      </c>
      <c r="H645" s="3">
        <v>299836</v>
      </c>
      <c r="I645">
        <v>40</v>
      </c>
      <c r="J645" s="3">
        <v>0.97</v>
      </c>
      <c r="K645">
        <v>6.29</v>
      </c>
      <c r="L645">
        <v>1.2</v>
      </c>
      <c r="M645">
        <v>9</v>
      </c>
      <c r="N645">
        <v>456</v>
      </c>
      <c r="O645" s="3">
        <f t="shared" si="20"/>
        <v>29377344</v>
      </c>
      <c r="P645" s="3">
        <f t="shared" si="21"/>
        <v>29077508</v>
      </c>
    </row>
    <row r="646" spans="1:16">
      <c r="A646">
        <v>2015</v>
      </c>
      <c r="B646" t="s">
        <v>48</v>
      </c>
      <c r="C646" t="s">
        <v>46</v>
      </c>
      <c r="D646" t="s">
        <v>30</v>
      </c>
      <c r="E646" t="s">
        <v>23</v>
      </c>
      <c r="F646" t="s">
        <v>33</v>
      </c>
      <c r="G646" s="3">
        <v>76984</v>
      </c>
      <c r="H646" s="3">
        <v>64390</v>
      </c>
      <c r="I646">
        <v>380</v>
      </c>
      <c r="J646" s="3">
        <v>0.97</v>
      </c>
      <c r="K646">
        <v>6.29</v>
      </c>
      <c r="L646">
        <v>1.2</v>
      </c>
      <c r="M646">
        <v>4</v>
      </c>
      <c r="N646">
        <v>814</v>
      </c>
      <c r="O646" s="3">
        <f t="shared" si="20"/>
        <v>62664976</v>
      </c>
      <c r="P646" s="3">
        <f t="shared" si="21"/>
        <v>62600586</v>
      </c>
    </row>
    <row r="647" spans="1:16">
      <c r="A647">
        <v>2019</v>
      </c>
      <c r="B647" t="s">
        <v>29</v>
      </c>
      <c r="C647" t="s">
        <v>26</v>
      </c>
      <c r="D647" t="s">
        <v>52</v>
      </c>
      <c r="E647" t="s">
        <v>19</v>
      </c>
      <c r="F647" t="s">
        <v>24</v>
      </c>
      <c r="G647" s="3">
        <v>76505</v>
      </c>
      <c r="H647" s="3">
        <v>268547</v>
      </c>
      <c r="I647">
        <v>241</v>
      </c>
      <c r="J647" s="3">
        <v>0.97</v>
      </c>
      <c r="K647">
        <v>6.29</v>
      </c>
      <c r="L647">
        <v>1.2</v>
      </c>
      <c r="M647">
        <v>5</v>
      </c>
      <c r="N647">
        <v>557</v>
      </c>
      <c r="O647" s="3">
        <f t="shared" si="20"/>
        <v>42613285</v>
      </c>
      <c r="P647" s="3">
        <f t="shared" si="21"/>
        <v>42344738</v>
      </c>
    </row>
    <row r="648" spans="1:16">
      <c r="A648">
        <v>2024</v>
      </c>
      <c r="B648" t="s">
        <v>29</v>
      </c>
      <c r="C648" t="s">
        <v>26</v>
      </c>
      <c r="D648" t="s">
        <v>30</v>
      </c>
      <c r="E648" t="s">
        <v>23</v>
      </c>
      <c r="F648" t="s">
        <v>24</v>
      </c>
      <c r="G648" s="3">
        <v>97699</v>
      </c>
      <c r="H648" s="3">
        <v>77307</v>
      </c>
      <c r="I648">
        <v>291</v>
      </c>
      <c r="J648" s="3">
        <v>0.97</v>
      </c>
      <c r="K648">
        <v>6.29</v>
      </c>
      <c r="L648">
        <v>1.2</v>
      </c>
      <c r="M648">
        <v>3</v>
      </c>
      <c r="N648">
        <v>730</v>
      </c>
      <c r="O648" s="3">
        <f t="shared" si="20"/>
        <v>71320270</v>
      </c>
      <c r="P648" s="3">
        <f t="shared" si="21"/>
        <v>71242963</v>
      </c>
    </row>
    <row r="649" spans="1:16">
      <c r="A649">
        <v>2023</v>
      </c>
      <c r="B649" t="s">
        <v>49</v>
      </c>
      <c r="C649" t="s">
        <v>46</v>
      </c>
      <c r="D649" t="s">
        <v>52</v>
      </c>
      <c r="E649" t="s">
        <v>19</v>
      </c>
      <c r="F649" t="s">
        <v>33</v>
      </c>
      <c r="G649" s="3">
        <v>61957</v>
      </c>
      <c r="H649" s="3">
        <v>277436</v>
      </c>
      <c r="I649">
        <v>38</v>
      </c>
      <c r="J649" s="3">
        <v>0.97</v>
      </c>
      <c r="K649">
        <v>6.29</v>
      </c>
      <c r="L649">
        <v>1.2</v>
      </c>
      <c r="M649">
        <v>4</v>
      </c>
      <c r="N649">
        <v>550</v>
      </c>
      <c r="O649" s="3">
        <f t="shared" si="20"/>
        <v>34076350</v>
      </c>
      <c r="P649" s="3">
        <f t="shared" si="21"/>
        <v>33798914</v>
      </c>
    </row>
    <row r="650" spans="1:16">
      <c r="A650">
        <v>2020</v>
      </c>
      <c r="B650" t="s">
        <v>16</v>
      </c>
      <c r="C650" t="s">
        <v>34</v>
      </c>
      <c r="D650" t="s">
        <v>41</v>
      </c>
      <c r="E650" t="s">
        <v>23</v>
      </c>
      <c r="F650" t="s">
        <v>20</v>
      </c>
      <c r="G650" s="3">
        <v>60464</v>
      </c>
      <c r="H650" s="3">
        <v>275121</v>
      </c>
      <c r="I650">
        <v>204</v>
      </c>
      <c r="J650" s="3">
        <v>0.97</v>
      </c>
      <c r="K650">
        <v>6.29</v>
      </c>
      <c r="L650">
        <v>1.2</v>
      </c>
      <c r="M650">
        <v>8</v>
      </c>
      <c r="N650">
        <v>842</v>
      </c>
      <c r="O650" s="3">
        <f t="shared" si="20"/>
        <v>50910688</v>
      </c>
      <c r="P650" s="3">
        <f t="shared" si="21"/>
        <v>50635567</v>
      </c>
    </row>
    <row r="651" spans="1:16">
      <c r="A651">
        <v>2015</v>
      </c>
      <c r="B651" t="s">
        <v>25</v>
      </c>
      <c r="C651" t="s">
        <v>34</v>
      </c>
      <c r="D651" t="s">
        <v>42</v>
      </c>
      <c r="E651" t="s">
        <v>19</v>
      </c>
      <c r="F651" t="s">
        <v>33</v>
      </c>
      <c r="G651" s="3">
        <v>58649</v>
      </c>
      <c r="H651" s="3">
        <v>301063</v>
      </c>
      <c r="I651">
        <v>343</v>
      </c>
      <c r="J651" s="3">
        <v>0.97</v>
      </c>
      <c r="K651">
        <v>6.29</v>
      </c>
      <c r="L651">
        <v>1.2</v>
      </c>
      <c r="M651">
        <v>4</v>
      </c>
      <c r="N651">
        <v>1071</v>
      </c>
      <c r="O651" s="3">
        <f t="shared" si="20"/>
        <v>62813079</v>
      </c>
      <c r="P651" s="3">
        <f t="shared" si="21"/>
        <v>62512016</v>
      </c>
    </row>
    <row r="652" spans="1:16">
      <c r="A652">
        <v>2015</v>
      </c>
      <c r="B652" t="s">
        <v>21</v>
      </c>
      <c r="C652" t="s">
        <v>46</v>
      </c>
      <c r="D652" t="s">
        <v>22</v>
      </c>
      <c r="E652" t="s">
        <v>23</v>
      </c>
      <c r="F652" t="s">
        <v>24</v>
      </c>
      <c r="G652" s="3">
        <v>77065</v>
      </c>
      <c r="H652" s="3">
        <v>74502</v>
      </c>
      <c r="I652">
        <v>265</v>
      </c>
      <c r="J652" s="3">
        <v>0.97</v>
      </c>
      <c r="K652">
        <v>6.29</v>
      </c>
      <c r="L652">
        <v>1.2</v>
      </c>
      <c r="M652">
        <v>9</v>
      </c>
      <c r="N652">
        <v>929</v>
      </c>
      <c r="O652" s="3">
        <f t="shared" si="20"/>
        <v>71593385</v>
      </c>
      <c r="P652" s="3">
        <f t="shared" si="21"/>
        <v>71518883</v>
      </c>
    </row>
    <row r="653" spans="1:16">
      <c r="A653">
        <v>2016</v>
      </c>
      <c r="B653" t="s">
        <v>25</v>
      </c>
      <c r="C653" t="s">
        <v>51</v>
      </c>
      <c r="D653" t="s">
        <v>22</v>
      </c>
      <c r="E653" t="s">
        <v>23</v>
      </c>
      <c r="F653" t="s">
        <v>33</v>
      </c>
      <c r="G653" s="3">
        <v>69758</v>
      </c>
      <c r="H653" s="3">
        <v>72486</v>
      </c>
      <c r="I653">
        <v>290</v>
      </c>
      <c r="J653" s="3">
        <v>0.97</v>
      </c>
      <c r="K653">
        <v>6.29</v>
      </c>
      <c r="L653">
        <v>1.2</v>
      </c>
      <c r="M653">
        <v>9</v>
      </c>
      <c r="N653">
        <v>977</v>
      </c>
      <c r="O653" s="3">
        <f t="shared" si="20"/>
        <v>68153566</v>
      </c>
      <c r="P653" s="3">
        <f t="shared" si="21"/>
        <v>68081080</v>
      </c>
    </row>
    <row r="654" spans="1:16">
      <c r="A654">
        <v>2023</v>
      </c>
      <c r="B654" t="s">
        <v>37</v>
      </c>
      <c r="C654" t="s">
        <v>31</v>
      </c>
      <c r="D654" t="s">
        <v>18</v>
      </c>
      <c r="E654" t="s">
        <v>19</v>
      </c>
      <c r="F654" t="s">
        <v>20</v>
      </c>
      <c r="G654" s="3">
        <v>40596</v>
      </c>
      <c r="H654" s="3">
        <v>423957</v>
      </c>
      <c r="I654">
        <v>313</v>
      </c>
      <c r="J654" s="3">
        <v>0.97</v>
      </c>
      <c r="K654">
        <v>6.29</v>
      </c>
      <c r="L654">
        <v>1.2</v>
      </c>
      <c r="M654">
        <v>6</v>
      </c>
      <c r="N654">
        <v>989</v>
      </c>
      <c r="O654" s="3">
        <f t="shared" si="20"/>
        <v>40149444</v>
      </c>
      <c r="P654" s="3">
        <f t="shared" si="21"/>
        <v>39725487</v>
      </c>
    </row>
    <row r="655" spans="1:16">
      <c r="A655">
        <v>2017</v>
      </c>
      <c r="B655" t="s">
        <v>37</v>
      </c>
      <c r="C655" t="s">
        <v>44</v>
      </c>
      <c r="D655" t="s">
        <v>39</v>
      </c>
      <c r="E655" t="s">
        <v>23</v>
      </c>
      <c r="F655" t="s">
        <v>28</v>
      </c>
      <c r="G655" s="3">
        <v>51374</v>
      </c>
      <c r="H655" s="3">
        <v>219330</v>
      </c>
      <c r="I655">
        <v>330</v>
      </c>
      <c r="J655" s="3">
        <v>0.97</v>
      </c>
      <c r="K655">
        <v>6.29</v>
      </c>
      <c r="L655">
        <v>1.2</v>
      </c>
      <c r="M655">
        <v>2</v>
      </c>
      <c r="N655">
        <v>1096</v>
      </c>
      <c r="O655" s="3">
        <f t="shared" si="20"/>
        <v>56305904</v>
      </c>
      <c r="P655" s="3">
        <f t="shared" si="21"/>
        <v>56086574</v>
      </c>
    </row>
    <row r="656" spans="1:16">
      <c r="A656">
        <v>2015</v>
      </c>
      <c r="B656" t="s">
        <v>29</v>
      </c>
      <c r="C656" t="s">
        <v>40</v>
      </c>
      <c r="D656" t="s">
        <v>39</v>
      </c>
      <c r="E656" t="s">
        <v>23</v>
      </c>
      <c r="F656" t="s">
        <v>28</v>
      </c>
      <c r="G656" s="3">
        <v>38775</v>
      </c>
      <c r="H656" s="3">
        <v>238788</v>
      </c>
      <c r="I656">
        <v>332</v>
      </c>
      <c r="J656" s="3">
        <v>0.97</v>
      </c>
      <c r="K656">
        <v>6.29</v>
      </c>
      <c r="L656">
        <v>1.2</v>
      </c>
      <c r="M656">
        <v>10</v>
      </c>
      <c r="N656">
        <v>835</v>
      </c>
      <c r="O656" s="3">
        <f t="shared" si="20"/>
        <v>32377125</v>
      </c>
      <c r="P656" s="3">
        <f t="shared" si="21"/>
        <v>32138337</v>
      </c>
    </row>
    <row r="657" spans="1:16">
      <c r="A657">
        <v>2019</v>
      </c>
      <c r="B657" t="s">
        <v>35</v>
      </c>
      <c r="C657" t="s">
        <v>31</v>
      </c>
      <c r="D657" t="s">
        <v>18</v>
      </c>
      <c r="E657" t="s">
        <v>19</v>
      </c>
      <c r="F657" t="s">
        <v>33</v>
      </c>
      <c r="G657" s="3">
        <v>62388</v>
      </c>
      <c r="H657" s="3">
        <v>278300</v>
      </c>
      <c r="I657">
        <v>355</v>
      </c>
      <c r="J657" s="3">
        <v>0.97</v>
      </c>
      <c r="K657">
        <v>6.29</v>
      </c>
      <c r="L657">
        <v>1.2</v>
      </c>
      <c r="M657">
        <v>7</v>
      </c>
      <c r="N657">
        <v>886</v>
      </c>
      <c r="O657" s="3">
        <f t="shared" si="20"/>
        <v>55275768</v>
      </c>
      <c r="P657" s="3">
        <f t="shared" si="21"/>
        <v>54997468</v>
      </c>
    </row>
    <row r="658" spans="1:16">
      <c r="A658">
        <v>2021</v>
      </c>
      <c r="B658" t="s">
        <v>48</v>
      </c>
      <c r="C658" t="s">
        <v>34</v>
      </c>
      <c r="D658" t="s">
        <v>32</v>
      </c>
      <c r="E658" t="s">
        <v>19</v>
      </c>
      <c r="F658" t="s">
        <v>20</v>
      </c>
      <c r="G658" s="3">
        <v>56029</v>
      </c>
      <c r="H658" s="3">
        <v>153920</v>
      </c>
      <c r="I658">
        <v>303</v>
      </c>
      <c r="J658" s="3">
        <v>0.97</v>
      </c>
      <c r="K658">
        <v>6.29</v>
      </c>
      <c r="L658">
        <v>1.2</v>
      </c>
      <c r="M658">
        <v>9</v>
      </c>
      <c r="N658">
        <v>682</v>
      </c>
      <c r="O658" s="3">
        <f t="shared" si="20"/>
        <v>38211778</v>
      </c>
      <c r="P658" s="3">
        <f t="shared" si="21"/>
        <v>38057858</v>
      </c>
    </row>
    <row r="659" spans="1:16">
      <c r="A659">
        <v>2020</v>
      </c>
      <c r="B659" t="s">
        <v>49</v>
      </c>
      <c r="C659" t="s">
        <v>44</v>
      </c>
      <c r="D659" t="s">
        <v>22</v>
      </c>
      <c r="E659" t="s">
        <v>23</v>
      </c>
      <c r="F659" t="s">
        <v>28</v>
      </c>
      <c r="G659" s="3">
        <v>118981</v>
      </c>
      <c r="H659" s="3">
        <v>262566</v>
      </c>
      <c r="I659">
        <v>96</v>
      </c>
      <c r="J659" s="3">
        <v>0.97</v>
      </c>
      <c r="K659">
        <v>6.29</v>
      </c>
      <c r="L659">
        <v>1.2</v>
      </c>
      <c r="M659">
        <v>6</v>
      </c>
      <c r="N659">
        <v>622</v>
      </c>
      <c r="O659" s="3">
        <f t="shared" si="20"/>
        <v>74006182</v>
      </c>
      <c r="P659" s="3">
        <f t="shared" si="21"/>
        <v>73743616</v>
      </c>
    </row>
    <row r="660" spans="1:16">
      <c r="A660">
        <v>2015</v>
      </c>
      <c r="B660" t="s">
        <v>47</v>
      </c>
      <c r="C660" t="s">
        <v>45</v>
      </c>
      <c r="D660" t="s">
        <v>32</v>
      </c>
      <c r="E660" t="s">
        <v>19</v>
      </c>
      <c r="F660" t="s">
        <v>33</v>
      </c>
      <c r="G660" s="3">
        <v>88639</v>
      </c>
      <c r="H660" s="3">
        <v>394912</v>
      </c>
      <c r="I660">
        <v>158</v>
      </c>
      <c r="J660" s="3">
        <v>0.97</v>
      </c>
      <c r="K660">
        <v>6.29</v>
      </c>
      <c r="L660">
        <v>1.2</v>
      </c>
      <c r="M660">
        <v>3</v>
      </c>
      <c r="N660">
        <v>482</v>
      </c>
      <c r="O660" s="3">
        <f t="shared" si="20"/>
        <v>42723998</v>
      </c>
      <c r="P660" s="3">
        <f t="shared" si="21"/>
        <v>42329086</v>
      </c>
    </row>
    <row r="661" spans="1:16">
      <c r="A661">
        <v>2019</v>
      </c>
      <c r="B661" t="s">
        <v>37</v>
      </c>
      <c r="C661" t="s">
        <v>38</v>
      </c>
      <c r="D661" t="s">
        <v>30</v>
      </c>
      <c r="E661" t="s">
        <v>23</v>
      </c>
      <c r="F661" t="s">
        <v>33</v>
      </c>
      <c r="G661" s="3">
        <v>49645</v>
      </c>
      <c r="H661" s="3">
        <v>453964</v>
      </c>
      <c r="I661">
        <v>258</v>
      </c>
      <c r="J661" s="3">
        <v>0.97</v>
      </c>
      <c r="K661">
        <v>6.29</v>
      </c>
      <c r="L661">
        <v>1.2</v>
      </c>
      <c r="M661">
        <v>7</v>
      </c>
      <c r="N661">
        <v>739</v>
      </c>
      <c r="O661" s="3">
        <f t="shared" si="20"/>
        <v>36687655</v>
      </c>
      <c r="P661" s="3">
        <f t="shared" si="21"/>
        <v>36233691</v>
      </c>
    </row>
    <row r="662" spans="1:16">
      <c r="A662">
        <v>2019</v>
      </c>
      <c r="B662" t="s">
        <v>49</v>
      </c>
      <c r="C662" t="s">
        <v>26</v>
      </c>
      <c r="D662" t="s">
        <v>30</v>
      </c>
      <c r="E662" t="s">
        <v>23</v>
      </c>
      <c r="F662" t="s">
        <v>20</v>
      </c>
      <c r="G662" s="3">
        <v>66105</v>
      </c>
      <c r="H662" s="3">
        <v>112785</v>
      </c>
      <c r="I662">
        <v>330</v>
      </c>
      <c r="J662" s="3">
        <v>0.97</v>
      </c>
      <c r="K662">
        <v>6.29</v>
      </c>
      <c r="L662">
        <v>1.2</v>
      </c>
      <c r="M662">
        <v>5</v>
      </c>
      <c r="N662">
        <v>1062</v>
      </c>
      <c r="O662" s="3">
        <f t="shared" si="20"/>
        <v>70203510</v>
      </c>
      <c r="P662" s="3">
        <f t="shared" si="21"/>
        <v>70090725</v>
      </c>
    </row>
    <row r="663" spans="1:16">
      <c r="A663">
        <v>2020</v>
      </c>
      <c r="B663" t="s">
        <v>29</v>
      </c>
      <c r="C663" t="s">
        <v>46</v>
      </c>
      <c r="D663" t="s">
        <v>27</v>
      </c>
      <c r="E663" t="s">
        <v>23</v>
      </c>
      <c r="F663" t="s">
        <v>24</v>
      </c>
      <c r="G663" s="3">
        <v>48668</v>
      </c>
      <c r="H663" s="3">
        <v>126050</v>
      </c>
      <c r="I663">
        <v>292</v>
      </c>
      <c r="J663" s="3">
        <v>0.97</v>
      </c>
      <c r="K663">
        <v>6.29</v>
      </c>
      <c r="L663">
        <v>1.2</v>
      </c>
      <c r="M663">
        <v>1</v>
      </c>
      <c r="N663">
        <v>995</v>
      </c>
      <c r="O663" s="3">
        <f t="shared" si="20"/>
        <v>48424660</v>
      </c>
      <c r="P663" s="3">
        <f t="shared" si="21"/>
        <v>48298610</v>
      </c>
    </row>
    <row r="664" spans="1:16">
      <c r="A664">
        <v>2017</v>
      </c>
      <c r="B664" t="s">
        <v>16</v>
      </c>
      <c r="C664" t="s">
        <v>46</v>
      </c>
      <c r="D664" t="s">
        <v>52</v>
      </c>
      <c r="E664" t="s">
        <v>19</v>
      </c>
      <c r="F664" t="s">
        <v>33</v>
      </c>
      <c r="G664" s="3">
        <v>50960</v>
      </c>
      <c r="H664" s="3">
        <v>72738</v>
      </c>
      <c r="I664">
        <v>371</v>
      </c>
      <c r="J664" s="3">
        <v>0.97</v>
      </c>
      <c r="K664">
        <v>6.29</v>
      </c>
      <c r="L664">
        <v>1.2</v>
      </c>
      <c r="M664">
        <v>3</v>
      </c>
      <c r="N664">
        <v>759</v>
      </c>
      <c r="O664" s="3">
        <f t="shared" si="20"/>
        <v>38678640</v>
      </c>
      <c r="P664" s="3">
        <f t="shared" si="21"/>
        <v>38605902</v>
      </c>
    </row>
    <row r="665" spans="1:16">
      <c r="A665">
        <v>2019</v>
      </c>
      <c r="B665" t="s">
        <v>43</v>
      </c>
      <c r="C665" t="s">
        <v>26</v>
      </c>
      <c r="D665" t="s">
        <v>39</v>
      </c>
      <c r="E665" t="s">
        <v>23</v>
      </c>
      <c r="F665" t="s">
        <v>24</v>
      </c>
      <c r="G665" s="3">
        <v>46357</v>
      </c>
      <c r="H665" s="3">
        <v>124231</v>
      </c>
      <c r="I665">
        <v>388</v>
      </c>
      <c r="J665" s="3">
        <v>0.97</v>
      </c>
      <c r="K665">
        <v>6.29</v>
      </c>
      <c r="L665">
        <v>1.2</v>
      </c>
      <c r="M665">
        <v>5</v>
      </c>
      <c r="N665">
        <v>895</v>
      </c>
      <c r="O665" s="3">
        <f t="shared" si="20"/>
        <v>41489515</v>
      </c>
      <c r="P665" s="3">
        <f t="shared" si="21"/>
        <v>41365284</v>
      </c>
    </row>
    <row r="666" spans="1:16">
      <c r="A666">
        <v>2021</v>
      </c>
      <c r="B666" t="s">
        <v>25</v>
      </c>
      <c r="C666" t="s">
        <v>38</v>
      </c>
      <c r="D666" t="s">
        <v>27</v>
      </c>
      <c r="E666" t="s">
        <v>23</v>
      </c>
      <c r="F666" t="s">
        <v>24</v>
      </c>
      <c r="G666" s="3">
        <v>99604</v>
      </c>
      <c r="H666" s="3">
        <v>123606</v>
      </c>
      <c r="I666">
        <v>207</v>
      </c>
      <c r="J666" s="3">
        <v>0.97</v>
      </c>
      <c r="K666">
        <v>6.29</v>
      </c>
      <c r="L666">
        <v>1.2</v>
      </c>
      <c r="M666">
        <v>7</v>
      </c>
      <c r="N666">
        <v>754</v>
      </c>
      <c r="O666" s="3">
        <f t="shared" si="20"/>
        <v>75101416</v>
      </c>
      <c r="P666" s="3">
        <f t="shared" si="21"/>
        <v>74977810</v>
      </c>
    </row>
    <row r="667" spans="1:16">
      <c r="A667">
        <v>2019</v>
      </c>
      <c r="B667" t="s">
        <v>48</v>
      </c>
      <c r="C667" t="s">
        <v>40</v>
      </c>
      <c r="D667" t="s">
        <v>42</v>
      </c>
      <c r="E667" t="s">
        <v>19</v>
      </c>
      <c r="F667" t="s">
        <v>28</v>
      </c>
      <c r="G667" s="3">
        <v>86796</v>
      </c>
      <c r="H667" s="3">
        <v>353806</v>
      </c>
      <c r="I667">
        <v>53</v>
      </c>
      <c r="J667" s="3">
        <v>0.97</v>
      </c>
      <c r="K667">
        <v>6.29</v>
      </c>
      <c r="L667">
        <v>1.2</v>
      </c>
      <c r="M667">
        <v>3</v>
      </c>
      <c r="N667">
        <v>203</v>
      </c>
      <c r="O667" s="3">
        <f t="shared" si="20"/>
        <v>17619588</v>
      </c>
      <c r="P667" s="3">
        <f t="shared" si="21"/>
        <v>17265782</v>
      </c>
    </row>
    <row r="668" spans="1:16">
      <c r="A668">
        <v>2019</v>
      </c>
      <c r="B668" t="s">
        <v>53</v>
      </c>
      <c r="C668" t="s">
        <v>38</v>
      </c>
      <c r="D668" t="s">
        <v>18</v>
      </c>
      <c r="E668" t="s">
        <v>19</v>
      </c>
      <c r="F668" t="s">
        <v>24</v>
      </c>
      <c r="G668" s="3">
        <v>50804</v>
      </c>
      <c r="H668" s="3">
        <v>430457</v>
      </c>
      <c r="I668">
        <v>365</v>
      </c>
      <c r="J668" s="3">
        <v>0.97</v>
      </c>
      <c r="K668">
        <v>6.29</v>
      </c>
      <c r="L668">
        <v>1.2</v>
      </c>
      <c r="M668">
        <v>6</v>
      </c>
      <c r="N668">
        <v>1193</v>
      </c>
      <c r="O668" s="3">
        <f t="shared" si="20"/>
        <v>60609172</v>
      </c>
      <c r="P668" s="3">
        <f t="shared" si="21"/>
        <v>60178715</v>
      </c>
    </row>
    <row r="669" spans="1:16">
      <c r="A669">
        <v>2019</v>
      </c>
      <c r="B669" t="s">
        <v>49</v>
      </c>
      <c r="C669" t="s">
        <v>44</v>
      </c>
      <c r="D669" t="s">
        <v>18</v>
      </c>
      <c r="E669" t="s">
        <v>19</v>
      </c>
      <c r="F669" t="s">
        <v>20</v>
      </c>
      <c r="G669" s="3">
        <v>49626</v>
      </c>
      <c r="H669" s="3">
        <v>277369</v>
      </c>
      <c r="I669">
        <v>37</v>
      </c>
      <c r="J669" s="3">
        <v>0.97</v>
      </c>
      <c r="K669">
        <v>6.29</v>
      </c>
      <c r="L669">
        <v>1.2</v>
      </c>
      <c r="M669">
        <v>5</v>
      </c>
      <c r="N669">
        <v>226</v>
      </c>
      <c r="O669" s="3">
        <f t="shared" si="20"/>
        <v>11215476</v>
      </c>
      <c r="P669" s="3">
        <f t="shared" si="21"/>
        <v>10938107</v>
      </c>
    </row>
    <row r="670" spans="1:16">
      <c r="A670">
        <v>2024</v>
      </c>
      <c r="B670" t="s">
        <v>16</v>
      </c>
      <c r="C670" t="s">
        <v>38</v>
      </c>
      <c r="D670" t="s">
        <v>30</v>
      </c>
      <c r="E670" t="s">
        <v>23</v>
      </c>
      <c r="F670" t="s">
        <v>28</v>
      </c>
      <c r="G670" s="3">
        <v>63132</v>
      </c>
      <c r="H670" s="3">
        <v>327267</v>
      </c>
      <c r="I670">
        <v>26</v>
      </c>
      <c r="J670" s="3">
        <v>0.97</v>
      </c>
      <c r="K670">
        <v>6.29</v>
      </c>
      <c r="L670">
        <v>1.2</v>
      </c>
      <c r="M670">
        <v>1</v>
      </c>
      <c r="N670">
        <v>267</v>
      </c>
      <c r="O670" s="3">
        <f t="shared" si="20"/>
        <v>16856244</v>
      </c>
      <c r="P670" s="3">
        <f t="shared" si="21"/>
        <v>16528977</v>
      </c>
    </row>
    <row r="671" spans="1:16">
      <c r="A671">
        <v>2024</v>
      </c>
      <c r="B671" t="s">
        <v>47</v>
      </c>
      <c r="C671" t="s">
        <v>44</v>
      </c>
      <c r="D671" t="s">
        <v>22</v>
      </c>
      <c r="E671" t="s">
        <v>23</v>
      </c>
      <c r="F671" t="s">
        <v>28</v>
      </c>
      <c r="G671" s="3">
        <v>42951</v>
      </c>
      <c r="H671" s="3">
        <v>206688</v>
      </c>
      <c r="I671">
        <v>136</v>
      </c>
      <c r="J671" s="3">
        <v>0.97</v>
      </c>
      <c r="K671">
        <v>6.29</v>
      </c>
      <c r="L671">
        <v>1.2</v>
      </c>
      <c r="M671">
        <v>10</v>
      </c>
      <c r="N671">
        <v>475</v>
      </c>
      <c r="O671" s="3">
        <f t="shared" si="20"/>
        <v>20401725</v>
      </c>
      <c r="P671" s="3">
        <f t="shared" si="21"/>
        <v>20195037</v>
      </c>
    </row>
    <row r="672" spans="1:16">
      <c r="A672">
        <v>2017</v>
      </c>
      <c r="B672" t="s">
        <v>21</v>
      </c>
      <c r="C672" t="s">
        <v>38</v>
      </c>
      <c r="D672" t="s">
        <v>32</v>
      </c>
      <c r="E672" t="s">
        <v>19</v>
      </c>
      <c r="F672" t="s">
        <v>28</v>
      </c>
      <c r="G672" s="3">
        <v>41449</v>
      </c>
      <c r="H672" s="3">
        <v>323326</v>
      </c>
      <c r="I672">
        <v>388</v>
      </c>
      <c r="J672" s="3">
        <v>0.97</v>
      </c>
      <c r="K672">
        <v>6.29</v>
      </c>
      <c r="L672">
        <v>1.2</v>
      </c>
      <c r="M672">
        <v>6</v>
      </c>
      <c r="N672">
        <v>1119</v>
      </c>
      <c r="O672" s="3">
        <f t="shared" si="20"/>
        <v>46381431</v>
      </c>
      <c r="P672" s="3">
        <f t="shared" si="21"/>
        <v>46058105</v>
      </c>
    </row>
    <row r="673" spans="1:16">
      <c r="A673">
        <v>2015</v>
      </c>
      <c r="B673" t="s">
        <v>25</v>
      </c>
      <c r="C673" t="s">
        <v>40</v>
      </c>
      <c r="D673" t="s">
        <v>39</v>
      </c>
      <c r="E673" t="s">
        <v>23</v>
      </c>
      <c r="F673" t="s">
        <v>33</v>
      </c>
      <c r="G673" s="3">
        <v>54065</v>
      </c>
      <c r="H673" s="3">
        <v>402513</v>
      </c>
      <c r="I673">
        <v>177</v>
      </c>
      <c r="J673" s="3">
        <v>0.97</v>
      </c>
      <c r="K673">
        <v>6.29</v>
      </c>
      <c r="L673">
        <v>1.2</v>
      </c>
      <c r="M673">
        <v>8</v>
      </c>
      <c r="N673">
        <v>713</v>
      </c>
      <c r="O673" s="3">
        <f t="shared" si="20"/>
        <v>38548345</v>
      </c>
      <c r="P673" s="3">
        <f t="shared" si="21"/>
        <v>38145832</v>
      </c>
    </row>
    <row r="674" spans="1:16">
      <c r="A674">
        <v>2019</v>
      </c>
      <c r="B674" t="s">
        <v>53</v>
      </c>
      <c r="C674" t="s">
        <v>40</v>
      </c>
      <c r="D674" t="s">
        <v>27</v>
      </c>
      <c r="E674" t="s">
        <v>23</v>
      </c>
      <c r="F674" t="s">
        <v>33</v>
      </c>
      <c r="G674" s="3">
        <v>44130</v>
      </c>
      <c r="H674" s="3">
        <v>212403</v>
      </c>
      <c r="I674">
        <v>253</v>
      </c>
      <c r="J674" s="3">
        <v>0.97</v>
      </c>
      <c r="K674">
        <v>6.29</v>
      </c>
      <c r="L674">
        <v>1.2</v>
      </c>
      <c r="M674">
        <v>1</v>
      </c>
      <c r="N674">
        <v>744</v>
      </c>
      <c r="O674" s="3">
        <f t="shared" si="20"/>
        <v>32832720</v>
      </c>
      <c r="P674" s="3">
        <f t="shared" si="21"/>
        <v>32620317</v>
      </c>
    </row>
    <row r="675" spans="1:16">
      <c r="A675">
        <v>2023</v>
      </c>
      <c r="B675" t="s">
        <v>25</v>
      </c>
      <c r="C675" t="s">
        <v>34</v>
      </c>
      <c r="D675" t="s">
        <v>32</v>
      </c>
      <c r="E675" t="s">
        <v>19</v>
      </c>
      <c r="F675" t="s">
        <v>24</v>
      </c>
      <c r="G675" s="3">
        <v>97287</v>
      </c>
      <c r="H675" s="3">
        <v>227170</v>
      </c>
      <c r="I675">
        <v>396</v>
      </c>
      <c r="J675" s="3">
        <v>0.97</v>
      </c>
      <c r="K675">
        <v>6.29</v>
      </c>
      <c r="L675">
        <v>1.2</v>
      </c>
      <c r="M675">
        <v>2</v>
      </c>
      <c r="N675">
        <v>963</v>
      </c>
      <c r="O675" s="3">
        <f t="shared" si="20"/>
        <v>93687381</v>
      </c>
      <c r="P675" s="3">
        <f t="shared" si="21"/>
        <v>93460211</v>
      </c>
    </row>
    <row r="676" spans="1:16">
      <c r="A676">
        <v>2015</v>
      </c>
      <c r="B676" t="s">
        <v>29</v>
      </c>
      <c r="C676" t="s">
        <v>26</v>
      </c>
      <c r="D676" t="s">
        <v>27</v>
      </c>
      <c r="E676" t="s">
        <v>23</v>
      </c>
      <c r="F676" t="s">
        <v>28</v>
      </c>
      <c r="G676" s="3">
        <v>86702</v>
      </c>
      <c r="H676" s="3">
        <v>76128</v>
      </c>
      <c r="I676">
        <v>85</v>
      </c>
      <c r="J676" s="3">
        <v>0.97</v>
      </c>
      <c r="K676">
        <v>6.29</v>
      </c>
      <c r="L676">
        <v>1.2</v>
      </c>
      <c r="M676">
        <v>4</v>
      </c>
      <c r="N676">
        <v>304</v>
      </c>
      <c r="O676" s="3">
        <f t="shared" si="20"/>
        <v>26357408</v>
      </c>
      <c r="P676" s="3">
        <f t="shared" si="21"/>
        <v>26281280</v>
      </c>
    </row>
    <row r="677" spans="1:16">
      <c r="A677">
        <v>2017</v>
      </c>
      <c r="B677" t="s">
        <v>21</v>
      </c>
      <c r="C677" t="s">
        <v>40</v>
      </c>
      <c r="D677" t="s">
        <v>52</v>
      </c>
      <c r="E677" t="s">
        <v>19</v>
      </c>
      <c r="F677" t="s">
        <v>28</v>
      </c>
      <c r="G677" s="3">
        <v>71993</v>
      </c>
      <c r="H677" s="3">
        <v>81556</v>
      </c>
      <c r="I677">
        <v>240</v>
      </c>
      <c r="J677" s="3">
        <v>0.97</v>
      </c>
      <c r="K677">
        <v>6.29</v>
      </c>
      <c r="L677">
        <v>1.2</v>
      </c>
      <c r="M677">
        <v>2</v>
      </c>
      <c r="N677">
        <v>766</v>
      </c>
      <c r="O677" s="3">
        <f t="shared" si="20"/>
        <v>55146638</v>
      </c>
      <c r="P677" s="3">
        <f t="shared" si="21"/>
        <v>55065082</v>
      </c>
    </row>
    <row r="678" spans="1:16">
      <c r="A678">
        <v>2018</v>
      </c>
      <c r="B678" t="s">
        <v>25</v>
      </c>
      <c r="C678" t="s">
        <v>44</v>
      </c>
      <c r="D678" t="s">
        <v>42</v>
      </c>
      <c r="E678" t="s">
        <v>19</v>
      </c>
      <c r="F678" t="s">
        <v>20</v>
      </c>
      <c r="G678" s="3">
        <v>66875</v>
      </c>
      <c r="H678" s="3">
        <v>308470</v>
      </c>
      <c r="I678">
        <v>213</v>
      </c>
      <c r="J678" s="3">
        <v>0.97</v>
      </c>
      <c r="K678">
        <v>6.29</v>
      </c>
      <c r="L678">
        <v>1.2</v>
      </c>
      <c r="M678">
        <v>9</v>
      </c>
      <c r="N678">
        <v>434</v>
      </c>
      <c r="O678" s="3">
        <f t="shared" si="20"/>
        <v>29023750</v>
      </c>
      <c r="P678" s="3">
        <f t="shared" si="21"/>
        <v>28715280</v>
      </c>
    </row>
    <row r="679" spans="1:16">
      <c r="A679">
        <v>2015</v>
      </c>
      <c r="B679" t="s">
        <v>47</v>
      </c>
      <c r="C679" t="s">
        <v>40</v>
      </c>
      <c r="D679" t="s">
        <v>42</v>
      </c>
      <c r="E679" t="s">
        <v>19</v>
      </c>
      <c r="F679" t="s">
        <v>24</v>
      </c>
      <c r="G679" s="3">
        <v>41054</v>
      </c>
      <c r="H679" s="3">
        <v>202948</v>
      </c>
      <c r="I679">
        <v>257</v>
      </c>
      <c r="J679" s="3">
        <v>0.97</v>
      </c>
      <c r="K679">
        <v>6.29</v>
      </c>
      <c r="L679">
        <v>1.2</v>
      </c>
      <c r="M679">
        <v>10</v>
      </c>
      <c r="N679">
        <v>905</v>
      </c>
      <c r="O679" s="3">
        <f t="shared" si="20"/>
        <v>37153870</v>
      </c>
      <c r="P679" s="3">
        <f t="shared" si="21"/>
        <v>36950922</v>
      </c>
    </row>
    <row r="680" spans="1:16">
      <c r="A680">
        <v>2015</v>
      </c>
      <c r="B680" t="s">
        <v>16</v>
      </c>
      <c r="C680" t="s">
        <v>34</v>
      </c>
      <c r="D680" t="s">
        <v>32</v>
      </c>
      <c r="E680" t="s">
        <v>19</v>
      </c>
      <c r="F680" t="s">
        <v>20</v>
      </c>
      <c r="G680" s="3">
        <v>83517</v>
      </c>
      <c r="H680" s="3">
        <v>190021</v>
      </c>
      <c r="I680">
        <v>311</v>
      </c>
      <c r="J680" s="3">
        <v>0.97</v>
      </c>
      <c r="K680">
        <v>6.29</v>
      </c>
      <c r="L680">
        <v>1.2</v>
      </c>
      <c r="M680">
        <v>8</v>
      </c>
      <c r="N680">
        <v>662</v>
      </c>
      <c r="O680" s="3">
        <f t="shared" si="20"/>
        <v>55288254</v>
      </c>
      <c r="P680" s="3">
        <f t="shared" si="21"/>
        <v>55098233</v>
      </c>
    </row>
    <row r="681" spans="1:16">
      <c r="A681">
        <v>2022</v>
      </c>
      <c r="B681" t="s">
        <v>37</v>
      </c>
      <c r="C681" t="s">
        <v>46</v>
      </c>
      <c r="D681" t="s">
        <v>32</v>
      </c>
      <c r="E681" t="s">
        <v>19</v>
      </c>
      <c r="F681" t="s">
        <v>24</v>
      </c>
      <c r="G681" s="3">
        <v>111368</v>
      </c>
      <c r="H681" s="3">
        <v>101962</v>
      </c>
      <c r="I681">
        <v>223</v>
      </c>
      <c r="J681" s="3">
        <v>0.97</v>
      </c>
      <c r="K681">
        <v>6.29</v>
      </c>
      <c r="L681">
        <v>1.2</v>
      </c>
      <c r="M681">
        <v>8</v>
      </c>
      <c r="N681">
        <v>513</v>
      </c>
      <c r="O681" s="3">
        <f t="shared" si="20"/>
        <v>57131784</v>
      </c>
      <c r="P681" s="3">
        <f t="shared" si="21"/>
        <v>57029822</v>
      </c>
    </row>
    <row r="682" spans="1:16">
      <c r="A682">
        <v>2016</v>
      </c>
      <c r="B682" t="s">
        <v>21</v>
      </c>
      <c r="C682" t="s">
        <v>44</v>
      </c>
      <c r="D682" t="s">
        <v>32</v>
      </c>
      <c r="E682" t="s">
        <v>19</v>
      </c>
      <c r="F682" t="s">
        <v>24</v>
      </c>
      <c r="G682" s="3">
        <v>64670</v>
      </c>
      <c r="H682" s="3">
        <v>140054</v>
      </c>
      <c r="I682">
        <v>224</v>
      </c>
      <c r="J682" s="3">
        <v>0.97</v>
      </c>
      <c r="K682">
        <v>6.29</v>
      </c>
      <c r="L682">
        <v>1.2</v>
      </c>
      <c r="M682">
        <v>4</v>
      </c>
      <c r="N682">
        <v>800</v>
      </c>
      <c r="O682" s="3">
        <f t="shared" si="20"/>
        <v>51736000</v>
      </c>
      <c r="P682" s="3">
        <f t="shared" si="21"/>
        <v>51595946</v>
      </c>
    </row>
    <row r="683" spans="1:16">
      <c r="A683">
        <v>2022</v>
      </c>
      <c r="B683" t="s">
        <v>29</v>
      </c>
      <c r="C683" t="s">
        <v>34</v>
      </c>
      <c r="D683" t="s">
        <v>27</v>
      </c>
      <c r="E683" t="s">
        <v>23</v>
      </c>
      <c r="F683" t="s">
        <v>33</v>
      </c>
      <c r="G683" s="3">
        <v>84112</v>
      </c>
      <c r="H683" s="3">
        <v>252278</v>
      </c>
      <c r="I683">
        <v>167</v>
      </c>
      <c r="J683" s="3">
        <v>0.97</v>
      </c>
      <c r="K683">
        <v>6.29</v>
      </c>
      <c r="L683">
        <v>1.2</v>
      </c>
      <c r="M683">
        <v>5</v>
      </c>
      <c r="N683">
        <v>679</v>
      </c>
      <c r="O683" s="3">
        <f t="shared" si="20"/>
        <v>57112048</v>
      </c>
      <c r="P683" s="3">
        <f t="shared" si="21"/>
        <v>56859770</v>
      </c>
    </row>
    <row r="684" spans="1:16">
      <c r="A684">
        <v>2021</v>
      </c>
      <c r="B684" t="s">
        <v>53</v>
      </c>
      <c r="C684" t="s">
        <v>51</v>
      </c>
      <c r="D684" t="s">
        <v>52</v>
      </c>
      <c r="E684" t="s">
        <v>19</v>
      </c>
      <c r="F684" t="s">
        <v>33</v>
      </c>
      <c r="G684" s="3">
        <v>63307</v>
      </c>
      <c r="H684" s="3">
        <v>74099</v>
      </c>
      <c r="I684">
        <v>78</v>
      </c>
      <c r="J684" s="3">
        <v>0.97</v>
      </c>
      <c r="K684">
        <v>6.29</v>
      </c>
      <c r="L684">
        <v>1.2</v>
      </c>
      <c r="M684">
        <v>4</v>
      </c>
      <c r="N684">
        <v>221</v>
      </c>
      <c r="O684" s="3">
        <f t="shared" si="20"/>
        <v>13990847</v>
      </c>
      <c r="P684" s="3">
        <f t="shared" si="21"/>
        <v>13916748</v>
      </c>
    </row>
    <row r="685" spans="1:16">
      <c r="A685">
        <v>2024</v>
      </c>
      <c r="B685" t="s">
        <v>35</v>
      </c>
      <c r="C685" t="s">
        <v>51</v>
      </c>
      <c r="D685" t="s">
        <v>41</v>
      </c>
      <c r="E685" t="s">
        <v>23</v>
      </c>
      <c r="F685" t="s">
        <v>20</v>
      </c>
      <c r="G685" s="3">
        <v>102087</v>
      </c>
      <c r="H685" s="3">
        <v>285943</v>
      </c>
      <c r="I685">
        <v>94</v>
      </c>
      <c r="J685" s="3">
        <v>0.97</v>
      </c>
      <c r="K685">
        <v>6.29</v>
      </c>
      <c r="L685">
        <v>1.2</v>
      </c>
      <c r="M685">
        <v>9</v>
      </c>
      <c r="N685">
        <v>256</v>
      </c>
      <c r="O685" s="3">
        <f t="shared" si="20"/>
        <v>26134272</v>
      </c>
      <c r="P685" s="3">
        <f t="shared" si="21"/>
        <v>25848329</v>
      </c>
    </row>
    <row r="686" spans="1:16">
      <c r="A686">
        <v>2024</v>
      </c>
      <c r="B686" t="s">
        <v>50</v>
      </c>
      <c r="C686" t="s">
        <v>45</v>
      </c>
      <c r="D686" t="s">
        <v>32</v>
      </c>
      <c r="E686" t="s">
        <v>19</v>
      </c>
      <c r="F686" t="s">
        <v>24</v>
      </c>
      <c r="G686" s="3">
        <v>82922</v>
      </c>
      <c r="H686" s="3">
        <v>455932</v>
      </c>
      <c r="I686">
        <v>276</v>
      </c>
      <c r="J686" s="3">
        <v>0.97</v>
      </c>
      <c r="K686">
        <v>6.29</v>
      </c>
      <c r="L686">
        <v>1.2</v>
      </c>
      <c r="M686">
        <v>2</v>
      </c>
      <c r="N686">
        <v>853</v>
      </c>
      <c r="O686" s="3">
        <f t="shared" si="20"/>
        <v>70732466</v>
      </c>
      <c r="P686" s="3">
        <f t="shared" si="21"/>
        <v>70276534</v>
      </c>
    </row>
    <row r="687" spans="1:16">
      <c r="A687">
        <v>2016</v>
      </c>
      <c r="B687" t="s">
        <v>49</v>
      </c>
      <c r="C687" t="s">
        <v>38</v>
      </c>
      <c r="D687" t="s">
        <v>22</v>
      </c>
      <c r="E687" t="s">
        <v>23</v>
      </c>
      <c r="F687" t="s">
        <v>28</v>
      </c>
      <c r="G687" s="3">
        <v>98080</v>
      </c>
      <c r="H687" s="3">
        <v>233683</v>
      </c>
      <c r="I687">
        <v>78</v>
      </c>
      <c r="J687" s="3">
        <v>0.97</v>
      </c>
      <c r="K687">
        <v>6.29</v>
      </c>
      <c r="L687">
        <v>1.2</v>
      </c>
      <c r="M687">
        <v>8</v>
      </c>
      <c r="N687">
        <v>317</v>
      </c>
      <c r="O687" s="3">
        <f t="shared" si="20"/>
        <v>31091360</v>
      </c>
      <c r="P687" s="3">
        <f t="shared" si="21"/>
        <v>30857677</v>
      </c>
    </row>
    <row r="688" spans="1:16">
      <c r="A688">
        <v>2020</v>
      </c>
      <c r="B688" t="s">
        <v>25</v>
      </c>
      <c r="C688" t="s">
        <v>26</v>
      </c>
      <c r="D688" t="s">
        <v>39</v>
      </c>
      <c r="E688" t="s">
        <v>23</v>
      </c>
      <c r="F688" t="s">
        <v>33</v>
      </c>
      <c r="G688" s="3">
        <v>114335</v>
      </c>
      <c r="H688" s="3">
        <v>219957</v>
      </c>
      <c r="I688">
        <v>108</v>
      </c>
      <c r="J688" s="3">
        <v>0.97</v>
      </c>
      <c r="K688">
        <v>6.29</v>
      </c>
      <c r="L688">
        <v>1.2</v>
      </c>
      <c r="M688">
        <v>2</v>
      </c>
      <c r="N688">
        <v>461</v>
      </c>
      <c r="O688" s="3">
        <f t="shared" si="20"/>
        <v>52708435</v>
      </c>
      <c r="P688" s="3">
        <f t="shared" si="21"/>
        <v>52488478</v>
      </c>
    </row>
    <row r="689" spans="1:16">
      <c r="A689">
        <v>2020</v>
      </c>
      <c r="B689" t="s">
        <v>37</v>
      </c>
      <c r="C689" t="s">
        <v>17</v>
      </c>
      <c r="D689" t="s">
        <v>39</v>
      </c>
      <c r="E689" t="s">
        <v>23</v>
      </c>
      <c r="F689" t="s">
        <v>28</v>
      </c>
      <c r="G689" s="3">
        <v>61312</v>
      </c>
      <c r="H689" s="3">
        <v>365288</v>
      </c>
      <c r="I689">
        <v>356</v>
      </c>
      <c r="J689" s="3">
        <v>0.97</v>
      </c>
      <c r="K689">
        <v>6.29</v>
      </c>
      <c r="L689">
        <v>1.2</v>
      </c>
      <c r="M689">
        <v>1</v>
      </c>
      <c r="N689">
        <v>964</v>
      </c>
      <c r="O689" s="3">
        <f t="shared" si="20"/>
        <v>59104768</v>
      </c>
      <c r="P689" s="3">
        <f t="shared" si="21"/>
        <v>58739480</v>
      </c>
    </row>
    <row r="690" spans="1:16">
      <c r="A690">
        <v>2017</v>
      </c>
      <c r="B690" t="s">
        <v>21</v>
      </c>
      <c r="C690" t="s">
        <v>31</v>
      </c>
      <c r="D690" t="s">
        <v>27</v>
      </c>
      <c r="E690" t="s">
        <v>23</v>
      </c>
      <c r="F690" t="s">
        <v>20</v>
      </c>
      <c r="G690" s="3">
        <v>101985</v>
      </c>
      <c r="H690" s="3">
        <v>246292</v>
      </c>
      <c r="I690">
        <v>225</v>
      </c>
      <c r="J690" s="3">
        <v>0.97</v>
      </c>
      <c r="K690">
        <v>6.29</v>
      </c>
      <c r="L690">
        <v>1.2</v>
      </c>
      <c r="M690">
        <v>10</v>
      </c>
      <c r="N690">
        <v>453</v>
      </c>
      <c r="O690" s="3">
        <f t="shared" si="20"/>
        <v>46199205</v>
      </c>
      <c r="P690" s="3">
        <f t="shared" si="21"/>
        <v>45952913</v>
      </c>
    </row>
    <row r="691" spans="1:16">
      <c r="A691">
        <v>2016</v>
      </c>
      <c r="B691" t="s">
        <v>25</v>
      </c>
      <c r="C691" t="s">
        <v>34</v>
      </c>
      <c r="D691" t="s">
        <v>32</v>
      </c>
      <c r="E691" t="s">
        <v>19</v>
      </c>
      <c r="F691" t="s">
        <v>33</v>
      </c>
      <c r="G691" s="3">
        <v>92608</v>
      </c>
      <c r="H691" s="3">
        <v>57837</v>
      </c>
      <c r="I691">
        <v>170</v>
      </c>
      <c r="J691" s="3">
        <v>0.97</v>
      </c>
      <c r="K691">
        <v>6.29</v>
      </c>
      <c r="L691">
        <v>1.2</v>
      </c>
      <c r="M691">
        <v>3</v>
      </c>
      <c r="N691">
        <v>622</v>
      </c>
      <c r="O691" s="3">
        <f t="shared" si="20"/>
        <v>57602176</v>
      </c>
      <c r="P691" s="3">
        <f t="shared" si="21"/>
        <v>57544339</v>
      </c>
    </row>
    <row r="692" spans="1:16">
      <c r="A692">
        <v>2015</v>
      </c>
      <c r="B692" t="s">
        <v>43</v>
      </c>
      <c r="C692" t="s">
        <v>46</v>
      </c>
      <c r="D692" t="s">
        <v>30</v>
      </c>
      <c r="E692" t="s">
        <v>23</v>
      </c>
      <c r="F692" t="s">
        <v>33</v>
      </c>
      <c r="G692" s="3">
        <v>75277</v>
      </c>
      <c r="H692" s="3">
        <v>230427</v>
      </c>
      <c r="I692">
        <v>103</v>
      </c>
      <c r="J692" s="3">
        <v>0.97</v>
      </c>
      <c r="K692">
        <v>6.29</v>
      </c>
      <c r="L692">
        <v>1.2</v>
      </c>
      <c r="M692">
        <v>9</v>
      </c>
      <c r="N692">
        <v>275</v>
      </c>
      <c r="O692" s="3">
        <f t="shared" si="20"/>
        <v>20701175</v>
      </c>
      <c r="P692" s="3">
        <f t="shared" si="21"/>
        <v>20470748</v>
      </c>
    </row>
    <row r="693" spans="1:16">
      <c r="A693">
        <v>2020</v>
      </c>
      <c r="B693" t="s">
        <v>49</v>
      </c>
      <c r="C693" t="s">
        <v>31</v>
      </c>
      <c r="D693" t="s">
        <v>18</v>
      </c>
      <c r="E693" t="s">
        <v>19</v>
      </c>
      <c r="F693" t="s">
        <v>24</v>
      </c>
      <c r="G693" s="3">
        <v>66551</v>
      </c>
      <c r="H693" s="3">
        <v>228371</v>
      </c>
      <c r="I693">
        <v>183</v>
      </c>
      <c r="J693" s="3">
        <v>0.97</v>
      </c>
      <c r="K693">
        <v>6.29</v>
      </c>
      <c r="L693">
        <v>1.2</v>
      </c>
      <c r="M693">
        <v>3</v>
      </c>
      <c r="N693">
        <v>400</v>
      </c>
      <c r="O693" s="3">
        <f t="shared" si="20"/>
        <v>26620400</v>
      </c>
      <c r="P693" s="3">
        <f t="shared" si="21"/>
        <v>26392029</v>
      </c>
    </row>
    <row r="694" spans="1:16">
      <c r="A694">
        <v>2019</v>
      </c>
      <c r="B694" t="s">
        <v>35</v>
      </c>
      <c r="C694" t="s">
        <v>46</v>
      </c>
      <c r="D694" t="s">
        <v>41</v>
      </c>
      <c r="E694" t="s">
        <v>23</v>
      </c>
      <c r="F694" t="s">
        <v>20</v>
      </c>
      <c r="G694" s="3">
        <v>91597</v>
      </c>
      <c r="H694" s="3">
        <v>462375</v>
      </c>
      <c r="I694">
        <v>174</v>
      </c>
      <c r="J694" s="3">
        <v>0.97</v>
      </c>
      <c r="K694">
        <v>6.29</v>
      </c>
      <c r="L694">
        <v>1.2</v>
      </c>
      <c r="M694">
        <v>9</v>
      </c>
      <c r="N694">
        <v>769</v>
      </c>
      <c r="O694" s="3">
        <f t="shared" si="20"/>
        <v>70438093</v>
      </c>
      <c r="P694" s="3">
        <f t="shared" si="21"/>
        <v>69975718</v>
      </c>
    </row>
    <row r="695" spans="1:16">
      <c r="A695">
        <v>2023</v>
      </c>
      <c r="B695" t="s">
        <v>47</v>
      </c>
      <c r="C695" t="s">
        <v>31</v>
      </c>
      <c r="D695" t="s">
        <v>22</v>
      </c>
      <c r="E695" t="s">
        <v>23</v>
      </c>
      <c r="F695" t="s">
        <v>24</v>
      </c>
      <c r="G695" s="3">
        <v>80212</v>
      </c>
      <c r="H695" s="3">
        <v>437356</v>
      </c>
      <c r="I695">
        <v>124</v>
      </c>
      <c r="J695" s="3">
        <v>0.97</v>
      </c>
      <c r="K695">
        <v>6.29</v>
      </c>
      <c r="L695">
        <v>1.2</v>
      </c>
      <c r="M695">
        <v>7</v>
      </c>
      <c r="N695">
        <v>519</v>
      </c>
      <c r="O695" s="3">
        <f t="shared" si="20"/>
        <v>41630028</v>
      </c>
      <c r="P695" s="3">
        <f t="shared" si="21"/>
        <v>41192672</v>
      </c>
    </row>
    <row r="696" spans="1:16">
      <c r="A696">
        <v>2015</v>
      </c>
      <c r="B696" t="s">
        <v>50</v>
      </c>
      <c r="C696" t="s">
        <v>34</v>
      </c>
      <c r="D696" t="s">
        <v>52</v>
      </c>
      <c r="E696" t="s">
        <v>19</v>
      </c>
      <c r="F696" t="s">
        <v>33</v>
      </c>
      <c r="G696" s="3">
        <v>44637</v>
      </c>
      <c r="H696" s="3">
        <v>428824</v>
      </c>
      <c r="I696">
        <v>229</v>
      </c>
      <c r="J696" s="3">
        <v>0.97</v>
      </c>
      <c r="K696">
        <v>6.29</v>
      </c>
      <c r="L696">
        <v>1.2</v>
      </c>
      <c r="M696">
        <v>10</v>
      </c>
      <c r="N696">
        <v>861</v>
      </c>
      <c r="O696" s="3">
        <f t="shared" si="20"/>
        <v>38432457</v>
      </c>
      <c r="P696" s="3">
        <f t="shared" si="21"/>
        <v>38003633</v>
      </c>
    </row>
    <row r="697" spans="1:16">
      <c r="A697">
        <v>2021</v>
      </c>
      <c r="B697" t="s">
        <v>16</v>
      </c>
      <c r="C697" t="s">
        <v>17</v>
      </c>
      <c r="D697" t="s">
        <v>30</v>
      </c>
      <c r="E697" t="s">
        <v>23</v>
      </c>
      <c r="F697" t="s">
        <v>20</v>
      </c>
      <c r="G697" s="3">
        <v>78258</v>
      </c>
      <c r="H697" s="3">
        <v>298003</v>
      </c>
      <c r="I697">
        <v>40</v>
      </c>
      <c r="J697" s="3">
        <v>0.97</v>
      </c>
      <c r="K697">
        <v>6.29</v>
      </c>
      <c r="L697">
        <v>1.2</v>
      </c>
      <c r="M697">
        <v>1</v>
      </c>
      <c r="N697">
        <v>505</v>
      </c>
      <c r="O697" s="3">
        <f t="shared" si="20"/>
        <v>39520290</v>
      </c>
      <c r="P697" s="3">
        <f t="shared" si="21"/>
        <v>39222287</v>
      </c>
    </row>
    <row r="698" spans="1:16">
      <c r="A698">
        <v>2019</v>
      </c>
      <c r="B698" t="s">
        <v>25</v>
      </c>
      <c r="C698" t="s">
        <v>31</v>
      </c>
      <c r="D698" t="s">
        <v>42</v>
      </c>
      <c r="E698" t="s">
        <v>19</v>
      </c>
      <c r="F698" t="s">
        <v>33</v>
      </c>
      <c r="G698" s="3">
        <v>70693</v>
      </c>
      <c r="H698" s="3">
        <v>418946</v>
      </c>
      <c r="I698">
        <v>20</v>
      </c>
      <c r="J698" s="3">
        <v>0.97</v>
      </c>
      <c r="K698">
        <v>6.29</v>
      </c>
      <c r="L698">
        <v>1.2</v>
      </c>
      <c r="M698">
        <v>10</v>
      </c>
      <c r="N698">
        <v>429</v>
      </c>
      <c r="O698" s="3">
        <f t="shared" si="20"/>
        <v>30327297</v>
      </c>
      <c r="P698" s="3">
        <f t="shared" si="21"/>
        <v>29908351</v>
      </c>
    </row>
    <row r="699" spans="1:16">
      <c r="A699">
        <v>2019</v>
      </c>
      <c r="B699" t="s">
        <v>35</v>
      </c>
      <c r="C699" t="s">
        <v>34</v>
      </c>
      <c r="D699" t="s">
        <v>30</v>
      </c>
      <c r="E699" t="s">
        <v>23</v>
      </c>
      <c r="F699" t="s">
        <v>20</v>
      </c>
      <c r="G699" s="3">
        <v>44824</v>
      </c>
      <c r="H699" s="3">
        <v>152413</v>
      </c>
      <c r="I699">
        <v>352</v>
      </c>
      <c r="J699" s="3">
        <v>0.97</v>
      </c>
      <c r="K699">
        <v>6.29</v>
      </c>
      <c r="L699">
        <v>1.2</v>
      </c>
      <c r="M699">
        <v>5</v>
      </c>
      <c r="N699">
        <v>1007</v>
      </c>
      <c r="O699" s="3">
        <f t="shared" si="20"/>
        <v>45137768</v>
      </c>
      <c r="P699" s="3">
        <f t="shared" si="21"/>
        <v>44985355</v>
      </c>
    </row>
    <row r="700" spans="1:16">
      <c r="A700">
        <v>2016</v>
      </c>
      <c r="B700" t="s">
        <v>35</v>
      </c>
      <c r="C700" t="s">
        <v>40</v>
      </c>
      <c r="D700" t="s">
        <v>27</v>
      </c>
      <c r="E700" t="s">
        <v>23</v>
      </c>
      <c r="F700" t="s">
        <v>33</v>
      </c>
      <c r="G700" s="3">
        <v>61950</v>
      </c>
      <c r="H700" s="3">
        <v>101012</v>
      </c>
      <c r="I700">
        <v>386</v>
      </c>
      <c r="J700" s="3">
        <v>0.97</v>
      </c>
      <c r="K700">
        <v>6.29</v>
      </c>
      <c r="L700">
        <v>1.2</v>
      </c>
      <c r="M700">
        <v>9</v>
      </c>
      <c r="N700">
        <v>931</v>
      </c>
      <c r="O700" s="3">
        <f t="shared" si="20"/>
        <v>57675450</v>
      </c>
      <c r="P700" s="3">
        <f t="shared" si="21"/>
        <v>57574438</v>
      </c>
    </row>
    <row r="701" spans="1:16">
      <c r="A701">
        <v>2017</v>
      </c>
      <c r="B701" t="s">
        <v>47</v>
      </c>
      <c r="C701" t="s">
        <v>17</v>
      </c>
      <c r="D701" t="s">
        <v>41</v>
      </c>
      <c r="E701" t="s">
        <v>23</v>
      </c>
      <c r="F701" t="s">
        <v>28</v>
      </c>
      <c r="G701" s="3">
        <v>58488</v>
      </c>
      <c r="H701" s="3">
        <v>180193</v>
      </c>
      <c r="I701">
        <v>139</v>
      </c>
      <c r="J701" s="3">
        <v>0.97</v>
      </c>
      <c r="K701">
        <v>6.29</v>
      </c>
      <c r="L701">
        <v>1.2</v>
      </c>
      <c r="M701">
        <v>3</v>
      </c>
      <c r="N701">
        <v>426</v>
      </c>
      <c r="O701" s="3">
        <f t="shared" si="20"/>
        <v>24915888</v>
      </c>
      <c r="P701" s="3">
        <f t="shared" si="21"/>
        <v>24735695</v>
      </c>
    </row>
    <row r="702" spans="1:16">
      <c r="A702">
        <v>2021</v>
      </c>
      <c r="B702" t="s">
        <v>48</v>
      </c>
      <c r="C702" t="s">
        <v>44</v>
      </c>
      <c r="D702" t="s">
        <v>36</v>
      </c>
      <c r="E702" t="s">
        <v>19</v>
      </c>
      <c r="F702" t="s">
        <v>28</v>
      </c>
      <c r="G702" s="3">
        <v>35215</v>
      </c>
      <c r="H702" s="3">
        <v>268168</v>
      </c>
      <c r="I702">
        <v>114</v>
      </c>
      <c r="J702" s="3">
        <v>0.97</v>
      </c>
      <c r="K702">
        <v>6.29</v>
      </c>
      <c r="L702">
        <v>1.2</v>
      </c>
      <c r="M702">
        <v>9</v>
      </c>
      <c r="N702">
        <v>288</v>
      </c>
      <c r="O702" s="3">
        <f t="shared" si="20"/>
        <v>10141920</v>
      </c>
      <c r="P702" s="3">
        <f t="shared" si="21"/>
        <v>9873752</v>
      </c>
    </row>
    <row r="703" spans="1:16">
      <c r="A703">
        <v>2020</v>
      </c>
      <c r="B703" t="s">
        <v>47</v>
      </c>
      <c r="C703" t="s">
        <v>46</v>
      </c>
      <c r="D703" t="s">
        <v>36</v>
      </c>
      <c r="E703" t="s">
        <v>19</v>
      </c>
      <c r="F703" t="s">
        <v>24</v>
      </c>
      <c r="G703" s="3">
        <v>46523</v>
      </c>
      <c r="H703" s="3">
        <v>198178</v>
      </c>
      <c r="I703">
        <v>36</v>
      </c>
      <c r="J703" s="3">
        <v>0.97</v>
      </c>
      <c r="K703">
        <v>6.29</v>
      </c>
      <c r="L703">
        <v>1.2</v>
      </c>
      <c r="M703">
        <v>5</v>
      </c>
      <c r="N703">
        <v>298</v>
      </c>
      <c r="O703" s="3">
        <f t="shared" si="20"/>
        <v>13863854</v>
      </c>
      <c r="P703" s="3">
        <f t="shared" si="21"/>
        <v>13665676</v>
      </c>
    </row>
    <row r="704" spans="1:16">
      <c r="A704">
        <v>2016</v>
      </c>
      <c r="B704" t="s">
        <v>25</v>
      </c>
      <c r="C704" t="s">
        <v>51</v>
      </c>
      <c r="D704" t="s">
        <v>32</v>
      </c>
      <c r="E704" t="s">
        <v>19</v>
      </c>
      <c r="F704" t="s">
        <v>28</v>
      </c>
      <c r="G704" s="3">
        <v>110900</v>
      </c>
      <c r="H704" s="3">
        <v>108123</v>
      </c>
      <c r="I704">
        <v>236</v>
      </c>
      <c r="J704" s="3">
        <v>0.97</v>
      </c>
      <c r="K704">
        <v>6.29</v>
      </c>
      <c r="L704">
        <v>1.2</v>
      </c>
      <c r="M704">
        <v>9</v>
      </c>
      <c r="N704">
        <v>868</v>
      </c>
      <c r="O704" s="3">
        <f t="shared" si="20"/>
        <v>96261200</v>
      </c>
      <c r="P704" s="3">
        <f t="shared" si="21"/>
        <v>96153077</v>
      </c>
    </row>
    <row r="705" spans="1:16">
      <c r="A705">
        <v>2020</v>
      </c>
      <c r="B705" t="s">
        <v>48</v>
      </c>
      <c r="C705" t="s">
        <v>38</v>
      </c>
      <c r="D705" t="s">
        <v>32</v>
      </c>
      <c r="E705" t="s">
        <v>19</v>
      </c>
      <c r="F705" t="s">
        <v>33</v>
      </c>
      <c r="G705" s="3">
        <v>103689</v>
      </c>
      <c r="H705" s="3">
        <v>161825</v>
      </c>
      <c r="I705">
        <v>11</v>
      </c>
      <c r="J705" s="3">
        <v>0.97</v>
      </c>
      <c r="K705">
        <v>6.29</v>
      </c>
      <c r="L705">
        <v>1.2</v>
      </c>
      <c r="M705">
        <v>10</v>
      </c>
      <c r="N705">
        <v>92</v>
      </c>
      <c r="O705" s="3">
        <f t="shared" si="20"/>
        <v>9539388</v>
      </c>
      <c r="P705" s="3">
        <f t="shared" si="21"/>
        <v>9377563</v>
      </c>
    </row>
    <row r="706" spans="1:16">
      <c r="A706">
        <v>2016</v>
      </c>
      <c r="B706" t="s">
        <v>48</v>
      </c>
      <c r="C706" t="s">
        <v>51</v>
      </c>
      <c r="D706" t="s">
        <v>27</v>
      </c>
      <c r="E706" t="s">
        <v>23</v>
      </c>
      <c r="F706" t="s">
        <v>33</v>
      </c>
      <c r="G706" s="3">
        <v>58834</v>
      </c>
      <c r="H706" s="3">
        <v>58720</v>
      </c>
      <c r="I706">
        <v>368</v>
      </c>
      <c r="J706" s="3">
        <v>0.97</v>
      </c>
      <c r="K706">
        <v>6.29</v>
      </c>
      <c r="L706">
        <v>1.2</v>
      </c>
      <c r="M706">
        <v>6</v>
      </c>
      <c r="N706">
        <v>1006</v>
      </c>
      <c r="O706" s="3">
        <f t="shared" si="20"/>
        <v>59187004</v>
      </c>
      <c r="P706" s="3">
        <f t="shared" si="21"/>
        <v>59128284</v>
      </c>
    </row>
    <row r="707" spans="1:16">
      <c r="A707">
        <v>2016</v>
      </c>
      <c r="B707" t="s">
        <v>37</v>
      </c>
      <c r="C707" t="s">
        <v>17</v>
      </c>
      <c r="D707" t="s">
        <v>52</v>
      </c>
      <c r="E707" t="s">
        <v>19</v>
      </c>
      <c r="F707" t="s">
        <v>28</v>
      </c>
      <c r="G707" s="3">
        <v>69474</v>
      </c>
      <c r="H707" s="3">
        <v>218733</v>
      </c>
      <c r="I707">
        <v>110</v>
      </c>
      <c r="J707" s="3">
        <v>0.97</v>
      </c>
      <c r="K707">
        <v>6.29</v>
      </c>
      <c r="L707">
        <v>1.2</v>
      </c>
      <c r="M707">
        <v>9</v>
      </c>
      <c r="N707">
        <v>548</v>
      </c>
      <c r="O707" s="3">
        <f t="shared" ref="O707:O770" si="22">N707*G707</f>
        <v>38071752</v>
      </c>
      <c r="P707" s="3">
        <f t="shared" ref="P707:P770" si="23">O707-H707</f>
        <v>37853019</v>
      </c>
    </row>
    <row r="708" spans="1:16">
      <c r="A708">
        <v>2016</v>
      </c>
      <c r="B708" t="s">
        <v>37</v>
      </c>
      <c r="C708" t="s">
        <v>44</v>
      </c>
      <c r="D708" t="s">
        <v>32</v>
      </c>
      <c r="E708" t="s">
        <v>19</v>
      </c>
      <c r="F708" t="s">
        <v>24</v>
      </c>
      <c r="G708" s="3">
        <v>78066</v>
      </c>
      <c r="H708" s="3">
        <v>296103</v>
      </c>
      <c r="I708">
        <v>30</v>
      </c>
      <c r="J708" s="3">
        <v>0.97</v>
      </c>
      <c r="K708">
        <v>6.29</v>
      </c>
      <c r="L708">
        <v>1.2</v>
      </c>
      <c r="M708">
        <v>7</v>
      </c>
      <c r="N708">
        <v>187</v>
      </c>
      <c r="O708" s="3">
        <f t="shared" si="22"/>
        <v>14598342</v>
      </c>
      <c r="P708" s="3">
        <f t="shared" si="23"/>
        <v>14302239</v>
      </c>
    </row>
    <row r="709" spans="1:16">
      <c r="A709">
        <v>2017</v>
      </c>
      <c r="B709" t="s">
        <v>53</v>
      </c>
      <c r="C709" t="s">
        <v>46</v>
      </c>
      <c r="D709" t="s">
        <v>18</v>
      </c>
      <c r="E709" t="s">
        <v>19</v>
      </c>
      <c r="F709" t="s">
        <v>28</v>
      </c>
      <c r="G709" s="3">
        <v>45400</v>
      </c>
      <c r="H709" s="3">
        <v>274970</v>
      </c>
      <c r="I709">
        <v>67</v>
      </c>
      <c r="J709" s="3">
        <v>0.97</v>
      </c>
      <c r="K709">
        <v>6.29</v>
      </c>
      <c r="L709">
        <v>1.2</v>
      </c>
      <c r="M709">
        <v>7</v>
      </c>
      <c r="N709">
        <v>286</v>
      </c>
      <c r="O709" s="3">
        <f t="shared" si="22"/>
        <v>12984400</v>
      </c>
      <c r="P709" s="3">
        <f t="shared" si="23"/>
        <v>12709430</v>
      </c>
    </row>
    <row r="710" spans="1:16">
      <c r="A710">
        <v>2016</v>
      </c>
      <c r="B710" t="s">
        <v>21</v>
      </c>
      <c r="C710" t="s">
        <v>44</v>
      </c>
      <c r="D710" t="s">
        <v>41</v>
      </c>
      <c r="E710" t="s">
        <v>23</v>
      </c>
      <c r="F710" t="s">
        <v>20</v>
      </c>
      <c r="G710" s="3">
        <v>45345</v>
      </c>
      <c r="H710" s="3">
        <v>274866</v>
      </c>
      <c r="I710">
        <v>398</v>
      </c>
      <c r="J710" s="3">
        <v>0.97</v>
      </c>
      <c r="K710">
        <v>6.29</v>
      </c>
      <c r="L710">
        <v>1.2</v>
      </c>
      <c r="M710">
        <v>8</v>
      </c>
      <c r="N710">
        <v>916</v>
      </c>
      <c r="O710" s="3">
        <f t="shared" si="22"/>
        <v>41536020</v>
      </c>
      <c r="P710" s="3">
        <f t="shared" si="23"/>
        <v>41261154</v>
      </c>
    </row>
    <row r="711" spans="1:16">
      <c r="A711">
        <v>2018</v>
      </c>
      <c r="B711" t="s">
        <v>21</v>
      </c>
      <c r="C711" t="s">
        <v>31</v>
      </c>
      <c r="D711" t="s">
        <v>27</v>
      </c>
      <c r="E711" t="s">
        <v>23</v>
      </c>
      <c r="F711" t="s">
        <v>20</v>
      </c>
      <c r="G711" s="3">
        <v>68896</v>
      </c>
      <c r="H711" s="3">
        <v>464336</v>
      </c>
      <c r="I711">
        <v>189</v>
      </c>
      <c r="J711" s="3">
        <v>0.97</v>
      </c>
      <c r="K711">
        <v>6.29</v>
      </c>
      <c r="L711">
        <v>1.2</v>
      </c>
      <c r="M711">
        <v>7</v>
      </c>
      <c r="N711">
        <v>708</v>
      </c>
      <c r="O711" s="3">
        <f t="shared" si="22"/>
        <v>48778368</v>
      </c>
      <c r="P711" s="3">
        <f t="shared" si="23"/>
        <v>48314032</v>
      </c>
    </row>
    <row r="712" spans="1:16">
      <c r="A712">
        <v>2023</v>
      </c>
      <c r="B712" t="s">
        <v>29</v>
      </c>
      <c r="C712" t="s">
        <v>46</v>
      </c>
      <c r="D712" t="s">
        <v>39</v>
      </c>
      <c r="E712" t="s">
        <v>23</v>
      </c>
      <c r="F712" t="s">
        <v>20</v>
      </c>
      <c r="G712" s="3">
        <v>63899</v>
      </c>
      <c r="H712" s="3">
        <v>200862</v>
      </c>
      <c r="I712">
        <v>350</v>
      </c>
      <c r="J712" s="3">
        <v>0.97</v>
      </c>
      <c r="K712">
        <v>6.29</v>
      </c>
      <c r="L712">
        <v>1.2</v>
      </c>
      <c r="M712">
        <v>9</v>
      </c>
      <c r="N712">
        <v>1021</v>
      </c>
      <c r="O712" s="3">
        <f t="shared" si="22"/>
        <v>65240879</v>
      </c>
      <c r="P712" s="3">
        <f t="shared" si="23"/>
        <v>65040017</v>
      </c>
    </row>
    <row r="713" spans="1:16">
      <c r="A713">
        <v>2020</v>
      </c>
      <c r="B713" t="s">
        <v>16</v>
      </c>
      <c r="C713" t="s">
        <v>31</v>
      </c>
      <c r="D713" t="s">
        <v>42</v>
      </c>
      <c r="E713" t="s">
        <v>19</v>
      </c>
      <c r="F713" t="s">
        <v>28</v>
      </c>
      <c r="G713" s="3">
        <v>63229</v>
      </c>
      <c r="H713" s="3">
        <v>108655</v>
      </c>
      <c r="I713">
        <v>358</v>
      </c>
      <c r="J713" s="3">
        <v>0.97</v>
      </c>
      <c r="K713">
        <v>6.29</v>
      </c>
      <c r="L713">
        <v>1.2</v>
      </c>
      <c r="M713">
        <v>9</v>
      </c>
      <c r="N713">
        <v>749</v>
      </c>
      <c r="O713" s="3">
        <f t="shared" si="22"/>
        <v>47358521</v>
      </c>
      <c r="P713" s="3">
        <f t="shared" si="23"/>
        <v>47249866</v>
      </c>
    </row>
    <row r="714" spans="1:16">
      <c r="A714">
        <v>2015</v>
      </c>
      <c r="B714" t="s">
        <v>21</v>
      </c>
      <c r="C714" t="s">
        <v>34</v>
      </c>
      <c r="D714" t="s">
        <v>27</v>
      </c>
      <c r="E714" t="s">
        <v>23</v>
      </c>
      <c r="F714" t="s">
        <v>28</v>
      </c>
      <c r="G714" s="3">
        <v>40583</v>
      </c>
      <c r="H714" s="3">
        <v>240715</v>
      </c>
      <c r="I714">
        <v>29</v>
      </c>
      <c r="J714" s="3">
        <v>0.97</v>
      </c>
      <c r="K714">
        <v>6.29</v>
      </c>
      <c r="L714">
        <v>1.2</v>
      </c>
      <c r="M714">
        <v>6</v>
      </c>
      <c r="N714">
        <v>417</v>
      </c>
      <c r="O714" s="3">
        <f t="shared" si="22"/>
        <v>16923111</v>
      </c>
      <c r="P714" s="3">
        <f t="shared" si="23"/>
        <v>16682396</v>
      </c>
    </row>
    <row r="715" spans="1:16">
      <c r="A715">
        <v>2022</v>
      </c>
      <c r="B715" t="s">
        <v>37</v>
      </c>
      <c r="C715" t="s">
        <v>17</v>
      </c>
      <c r="D715" t="s">
        <v>27</v>
      </c>
      <c r="E715" t="s">
        <v>23</v>
      </c>
      <c r="F715" t="s">
        <v>28</v>
      </c>
      <c r="G715" s="3">
        <v>39897</v>
      </c>
      <c r="H715" s="3">
        <v>143448</v>
      </c>
      <c r="I715">
        <v>264</v>
      </c>
      <c r="J715" s="3">
        <v>0.97</v>
      </c>
      <c r="K715">
        <v>6.29</v>
      </c>
      <c r="L715">
        <v>1.2</v>
      </c>
      <c r="M715">
        <v>7</v>
      </c>
      <c r="N715">
        <v>631</v>
      </c>
      <c r="O715" s="3">
        <f t="shared" si="22"/>
        <v>25175007</v>
      </c>
      <c r="P715" s="3">
        <f t="shared" si="23"/>
        <v>25031559</v>
      </c>
    </row>
    <row r="716" spans="1:16">
      <c r="A716">
        <v>2021</v>
      </c>
      <c r="B716" t="s">
        <v>53</v>
      </c>
      <c r="C716" t="s">
        <v>34</v>
      </c>
      <c r="D716" t="s">
        <v>36</v>
      </c>
      <c r="E716" t="s">
        <v>19</v>
      </c>
      <c r="F716" t="s">
        <v>20</v>
      </c>
      <c r="G716" s="3">
        <v>106537</v>
      </c>
      <c r="H716" s="3">
        <v>228446</v>
      </c>
      <c r="I716">
        <v>326</v>
      </c>
      <c r="J716" s="3">
        <v>0.97</v>
      </c>
      <c r="K716">
        <v>6.29</v>
      </c>
      <c r="L716">
        <v>1.2</v>
      </c>
      <c r="M716">
        <v>2</v>
      </c>
      <c r="N716">
        <v>928</v>
      </c>
      <c r="O716" s="3">
        <f t="shared" si="22"/>
        <v>98866336</v>
      </c>
      <c r="P716" s="3">
        <f t="shared" si="23"/>
        <v>98637890</v>
      </c>
    </row>
    <row r="717" spans="1:16">
      <c r="A717">
        <v>2024</v>
      </c>
      <c r="B717" t="s">
        <v>53</v>
      </c>
      <c r="C717" t="s">
        <v>45</v>
      </c>
      <c r="D717" t="s">
        <v>22</v>
      </c>
      <c r="E717" t="s">
        <v>23</v>
      </c>
      <c r="F717" t="s">
        <v>24</v>
      </c>
      <c r="G717" s="3">
        <v>39567</v>
      </c>
      <c r="H717" s="3">
        <v>223979</v>
      </c>
      <c r="I717">
        <v>47</v>
      </c>
      <c r="J717" s="3">
        <v>0.97</v>
      </c>
      <c r="K717">
        <v>6.29</v>
      </c>
      <c r="L717">
        <v>1.2</v>
      </c>
      <c r="M717">
        <v>9</v>
      </c>
      <c r="N717">
        <v>123</v>
      </c>
      <c r="O717" s="3">
        <f t="shared" si="22"/>
        <v>4866741</v>
      </c>
      <c r="P717" s="3">
        <f t="shared" si="23"/>
        <v>4642762</v>
      </c>
    </row>
    <row r="718" spans="1:16">
      <c r="A718">
        <v>2017</v>
      </c>
      <c r="B718" t="s">
        <v>48</v>
      </c>
      <c r="C718" t="s">
        <v>44</v>
      </c>
      <c r="D718" t="s">
        <v>52</v>
      </c>
      <c r="E718" t="s">
        <v>19</v>
      </c>
      <c r="F718" t="s">
        <v>33</v>
      </c>
      <c r="G718" s="3">
        <v>109807</v>
      </c>
      <c r="H718" s="3">
        <v>231143</v>
      </c>
      <c r="I718">
        <v>157</v>
      </c>
      <c r="J718" s="3">
        <v>0.97</v>
      </c>
      <c r="K718">
        <v>6.29</v>
      </c>
      <c r="L718">
        <v>1.2</v>
      </c>
      <c r="M718">
        <v>1</v>
      </c>
      <c r="N718">
        <v>380</v>
      </c>
      <c r="O718" s="3">
        <f t="shared" si="22"/>
        <v>41726660</v>
      </c>
      <c r="P718" s="3">
        <f t="shared" si="23"/>
        <v>41495517</v>
      </c>
    </row>
    <row r="719" spans="1:16">
      <c r="A719">
        <v>2015</v>
      </c>
      <c r="B719" t="s">
        <v>29</v>
      </c>
      <c r="C719" t="s">
        <v>31</v>
      </c>
      <c r="D719" t="s">
        <v>22</v>
      </c>
      <c r="E719" t="s">
        <v>23</v>
      </c>
      <c r="F719" t="s">
        <v>28</v>
      </c>
      <c r="G719" s="3">
        <v>112239</v>
      </c>
      <c r="H719" s="3">
        <v>170507</v>
      </c>
      <c r="I719">
        <v>34</v>
      </c>
      <c r="J719" s="3">
        <v>0.97</v>
      </c>
      <c r="K719">
        <v>6.29</v>
      </c>
      <c r="L719">
        <v>1.2</v>
      </c>
      <c r="M719">
        <v>1</v>
      </c>
      <c r="N719">
        <v>446</v>
      </c>
      <c r="O719" s="3">
        <f t="shared" si="22"/>
        <v>50058594</v>
      </c>
      <c r="P719" s="3">
        <f t="shared" si="23"/>
        <v>49888087</v>
      </c>
    </row>
    <row r="720" spans="1:16">
      <c r="A720">
        <v>2019</v>
      </c>
      <c r="B720" t="s">
        <v>47</v>
      </c>
      <c r="C720" t="s">
        <v>40</v>
      </c>
      <c r="D720" t="s">
        <v>18</v>
      </c>
      <c r="E720" t="s">
        <v>19</v>
      </c>
      <c r="F720" t="s">
        <v>24</v>
      </c>
      <c r="G720" s="3">
        <v>48329</v>
      </c>
      <c r="H720" s="3">
        <v>346956</v>
      </c>
      <c r="I720">
        <v>395</v>
      </c>
      <c r="J720" s="3">
        <v>0.97</v>
      </c>
      <c r="K720">
        <v>6.29</v>
      </c>
      <c r="L720">
        <v>1.2</v>
      </c>
      <c r="M720">
        <v>3</v>
      </c>
      <c r="N720">
        <v>1088</v>
      </c>
      <c r="O720" s="3">
        <f t="shared" si="22"/>
        <v>52581952</v>
      </c>
      <c r="P720" s="3">
        <f t="shared" si="23"/>
        <v>52234996</v>
      </c>
    </row>
    <row r="721" spans="1:16">
      <c r="A721">
        <v>2018</v>
      </c>
      <c r="B721" t="s">
        <v>16</v>
      </c>
      <c r="C721" t="s">
        <v>34</v>
      </c>
      <c r="D721" t="s">
        <v>39</v>
      </c>
      <c r="E721" t="s">
        <v>23</v>
      </c>
      <c r="F721" t="s">
        <v>33</v>
      </c>
      <c r="G721" s="3">
        <v>106792</v>
      </c>
      <c r="H721" s="3">
        <v>361714</v>
      </c>
      <c r="I721">
        <v>130</v>
      </c>
      <c r="J721" s="3">
        <v>0.97</v>
      </c>
      <c r="K721">
        <v>6.29</v>
      </c>
      <c r="L721">
        <v>1.2</v>
      </c>
      <c r="M721">
        <v>6</v>
      </c>
      <c r="N721">
        <v>496</v>
      </c>
      <c r="O721" s="3">
        <f t="shared" si="22"/>
        <v>52968832</v>
      </c>
      <c r="P721" s="3">
        <f t="shared" si="23"/>
        <v>52607118</v>
      </c>
    </row>
    <row r="722" spans="1:16">
      <c r="A722">
        <v>2024</v>
      </c>
      <c r="B722" t="s">
        <v>25</v>
      </c>
      <c r="C722" t="s">
        <v>45</v>
      </c>
      <c r="D722" t="s">
        <v>36</v>
      </c>
      <c r="E722" t="s">
        <v>19</v>
      </c>
      <c r="F722" t="s">
        <v>33</v>
      </c>
      <c r="G722" s="3">
        <v>35228</v>
      </c>
      <c r="H722" s="3">
        <v>363045</v>
      </c>
      <c r="I722">
        <v>35</v>
      </c>
      <c r="J722" s="3">
        <v>0.97</v>
      </c>
      <c r="K722">
        <v>6.29</v>
      </c>
      <c r="L722">
        <v>1.2</v>
      </c>
      <c r="M722">
        <v>5</v>
      </c>
      <c r="N722">
        <v>171</v>
      </c>
      <c r="O722" s="3">
        <f t="shared" si="22"/>
        <v>6023988</v>
      </c>
      <c r="P722" s="3">
        <f t="shared" si="23"/>
        <v>5660943</v>
      </c>
    </row>
    <row r="723" spans="1:16">
      <c r="A723">
        <v>2022</v>
      </c>
      <c r="B723" t="s">
        <v>48</v>
      </c>
      <c r="C723" t="s">
        <v>26</v>
      </c>
      <c r="D723" t="s">
        <v>39</v>
      </c>
      <c r="E723" t="s">
        <v>23</v>
      </c>
      <c r="F723" t="s">
        <v>33</v>
      </c>
      <c r="G723" s="3">
        <v>117214</v>
      </c>
      <c r="H723" s="3">
        <v>110186</v>
      </c>
      <c r="I723">
        <v>178</v>
      </c>
      <c r="J723" s="3">
        <v>0.97</v>
      </c>
      <c r="K723">
        <v>6.29</v>
      </c>
      <c r="L723">
        <v>1.2</v>
      </c>
      <c r="M723">
        <v>2</v>
      </c>
      <c r="N723">
        <v>511</v>
      </c>
      <c r="O723" s="3">
        <f t="shared" si="22"/>
        <v>59896354</v>
      </c>
      <c r="P723" s="3">
        <f t="shared" si="23"/>
        <v>59786168</v>
      </c>
    </row>
    <row r="724" spans="1:16">
      <c r="A724">
        <v>2015</v>
      </c>
      <c r="B724" t="s">
        <v>47</v>
      </c>
      <c r="C724" t="s">
        <v>51</v>
      </c>
      <c r="D724" t="s">
        <v>18</v>
      </c>
      <c r="E724" t="s">
        <v>19</v>
      </c>
      <c r="F724" t="s">
        <v>24</v>
      </c>
      <c r="G724" s="3">
        <v>72052</v>
      </c>
      <c r="H724" s="3">
        <v>172066</v>
      </c>
      <c r="I724">
        <v>332</v>
      </c>
      <c r="J724" s="3">
        <v>0.97</v>
      </c>
      <c r="K724">
        <v>6.29</v>
      </c>
      <c r="L724">
        <v>1.2</v>
      </c>
      <c r="M724">
        <v>9</v>
      </c>
      <c r="N724">
        <v>908</v>
      </c>
      <c r="O724" s="3">
        <f t="shared" si="22"/>
        <v>65423216</v>
      </c>
      <c r="P724" s="3">
        <f t="shared" si="23"/>
        <v>65251150</v>
      </c>
    </row>
    <row r="725" spans="1:16">
      <c r="A725">
        <v>2024</v>
      </c>
      <c r="B725" t="s">
        <v>21</v>
      </c>
      <c r="C725" t="s">
        <v>46</v>
      </c>
      <c r="D725" t="s">
        <v>22</v>
      </c>
      <c r="E725" t="s">
        <v>23</v>
      </c>
      <c r="F725" t="s">
        <v>24</v>
      </c>
      <c r="G725" s="3">
        <v>92769</v>
      </c>
      <c r="H725" s="3">
        <v>440508</v>
      </c>
      <c r="I725">
        <v>234</v>
      </c>
      <c r="J725" s="3">
        <v>0.97</v>
      </c>
      <c r="K725">
        <v>6.29</v>
      </c>
      <c r="L725">
        <v>1.2</v>
      </c>
      <c r="M725">
        <v>10</v>
      </c>
      <c r="N725">
        <v>778</v>
      </c>
      <c r="O725" s="3">
        <f t="shared" si="22"/>
        <v>72174282</v>
      </c>
      <c r="P725" s="3">
        <f t="shared" si="23"/>
        <v>71733774</v>
      </c>
    </row>
    <row r="726" spans="1:16">
      <c r="A726">
        <v>2015</v>
      </c>
      <c r="B726" t="s">
        <v>29</v>
      </c>
      <c r="C726" t="s">
        <v>45</v>
      </c>
      <c r="D726" t="s">
        <v>27</v>
      </c>
      <c r="E726" t="s">
        <v>23</v>
      </c>
      <c r="F726" t="s">
        <v>20</v>
      </c>
      <c r="G726" s="3">
        <v>81032</v>
      </c>
      <c r="H726" s="3">
        <v>231323</v>
      </c>
      <c r="I726">
        <v>10</v>
      </c>
      <c r="J726" s="3">
        <v>0.97</v>
      </c>
      <c r="K726">
        <v>6.29</v>
      </c>
      <c r="L726">
        <v>1.2</v>
      </c>
      <c r="M726">
        <v>4</v>
      </c>
      <c r="N726">
        <v>247</v>
      </c>
      <c r="O726" s="3">
        <f t="shared" si="22"/>
        <v>20014904</v>
      </c>
      <c r="P726" s="3">
        <f t="shared" si="23"/>
        <v>19783581</v>
      </c>
    </row>
    <row r="727" spans="1:16">
      <c r="A727">
        <v>2018</v>
      </c>
      <c r="B727" t="s">
        <v>48</v>
      </c>
      <c r="C727" t="s">
        <v>17</v>
      </c>
      <c r="D727" t="s">
        <v>32</v>
      </c>
      <c r="E727" t="s">
        <v>19</v>
      </c>
      <c r="F727" t="s">
        <v>24</v>
      </c>
      <c r="G727" s="3">
        <v>68686</v>
      </c>
      <c r="H727" s="3">
        <v>246243</v>
      </c>
      <c r="I727">
        <v>316</v>
      </c>
      <c r="J727" s="3">
        <v>0.97</v>
      </c>
      <c r="K727">
        <v>6.29</v>
      </c>
      <c r="L727">
        <v>1.2</v>
      </c>
      <c r="M727">
        <v>4</v>
      </c>
      <c r="N727">
        <v>834</v>
      </c>
      <c r="O727" s="3">
        <f t="shared" si="22"/>
        <v>57284124</v>
      </c>
      <c r="P727" s="3">
        <f t="shared" si="23"/>
        <v>57037881</v>
      </c>
    </row>
    <row r="728" spans="1:16">
      <c r="A728">
        <v>2022</v>
      </c>
      <c r="B728" t="s">
        <v>49</v>
      </c>
      <c r="C728" t="s">
        <v>34</v>
      </c>
      <c r="D728" t="s">
        <v>32</v>
      </c>
      <c r="E728" t="s">
        <v>19</v>
      </c>
      <c r="F728" t="s">
        <v>24</v>
      </c>
      <c r="G728" s="3">
        <v>111981</v>
      </c>
      <c r="H728" s="3">
        <v>86160</v>
      </c>
      <c r="I728">
        <v>270</v>
      </c>
      <c r="J728" s="3">
        <v>0.97</v>
      </c>
      <c r="K728">
        <v>6.29</v>
      </c>
      <c r="L728">
        <v>1.2</v>
      </c>
      <c r="M728">
        <v>5</v>
      </c>
      <c r="N728">
        <v>573</v>
      </c>
      <c r="O728" s="3">
        <f t="shared" si="22"/>
        <v>64165113</v>
      </c>
      <c r="P728" s="3">
        <f t="shared" si="23"/>
        <v>64078953</v>
      </c>
    </row>
    <row r="729" spans="1:16">
      <c r="A729">
        <v>2019</v>
      </c>
      <c r="B729" t="s">
        <v>21</v>
      </c>
      <c r="C729" t="s">
        <v>17</v>
      </c>
      <c r="D729" t="s">
        <v>30</v>
      </c>
      <c r="E729" t="s">
        <v>23</v>
      </c>
      <c r="F729" t="s">
        <v>24</v>
      </c>
      <c r="G729" s="3">
        <v>98261</v>
      </c>
      <c r="H729" s="3">
        <v>69156</v>
      </c>
      <c r="I729">
        <v>22</v>
      </c>
      <c r="J729" s="3">
        <v>0.97</v>
      </c>
      <c r="K729">
        <v>6.29</v>
      </c>
      <c r="L729">
        <v>1.2</v>
      </c>
      <c r="M729">
        <v>8</v>
      </c>
      <c r="N729">
        <v>155</v>
      </c>
      <c r="O729" s="3">
        <f t="shared" si="22"/>
        <v>15230455</v>
      </c>
      <c r="P729" s="3">
        <f t="shared" si="23"/>
        <v>15161299</v>
      </c>
    </row>
    <row r="730" spans="1:16">
      <c r="A730">
        <v>2016</v>
      </c>
      <c r="B730" t="s">
        <v>47</v>
      </c>
      <c r="C730" t="s">
        <v>51</v>
      </c>
      <c r="D730" t="s">
        <v>42</v>
      </c>
      <c r="E730" t="s">
        <v>19</v>
      </c>
      <c r="F730" t="s">
        <v>33</v>
      </c>
      <c r="G730" s="3">
        <v>37809</v>
      </c>
      <c r="H730" s="3">
        <v>126208</v>
      </c>
      <c r="I730">
        <v>57</v>
      </c>
      <c r="J730" s="3">
        <v>0.97</v>
      </c>
      <c r="K730">
        <v>6.29</v>
      </c>
      <c r="L730">
        <v>1.2</v>
      </c>
      <c r="M730">
        <v>10</v>
      </c>
      <c r="N730">
        <v>529</v>
      </c>
      <c r="O730" s="3">
        <f t="shared" si="22"/>
        <v>20000961</v>
      </c>
      <c r="P730" s="3">
        <f t="shared" si="23"/>
        <v>19874753</v>
      </c>
    </row>
    <row r="731" spans="1:16">
      <c r="A731">
        <v>2020</v>
      </c>
      <c r="B731" t="s">
        <v>16</v>
      </c>
      <c r="C731" t="s">
        <v>40</v>
      </c>
      <c r="D731" t="s">
        <v>52</v>
      </c>
      <c r="E731" t="s">
        <v>19</v>
      </c>
      <c r="F731" t="s">
        <v>28</v>
      </c>
      <c r="G731" s="3">
        <v>76785</v>
      </c>
      <c r="H731" s="3">
        <v>199001</v>
      </c>
      <c r="I731">
        <v>322</v>
      </c>
      <c r="J731" s="3">
        <v>0.97</v>
      </c>
      <c r="K731">
        <v>6.29</v>
      </c>
      <c r="L731">
        <v>1.2</v>
      </c>
      <c r="M731">
        <v>4</v>
      </c>
      <c r="N731">
        <v>744</v>
      </c>
      <c r="O731" s="3">
        <f t="shared" si="22"/>
        <v>57128040</v>
      </c>
      <c r="P731" s="3">
        <f t="shared" si="23"/>
        <v>56929039</v>
      </c>
    </row>
    <row r="732" spans="1:16">
      <c r="A732">
        <v>2019</v>
      </c>
      <c r="B732" t="s">
        <v>25</v>
      </c>
      <c r="C732" t="s">
        <v>44</v>
      </c>
      <c r="D732" t="s">
        <v>18</v>
      </c>
      <c r="E732" t="s">
        <v>19</v>
      </c>
      <c r="F732" t="s">
        <v>20</v>
      </c>
      <c r="G732" s="3">
        <v>71547</v>
      </c>
      <c r="H732" s="3">
        <v>281226</v>
      </c>
      <c r="I732">
        <v>380</v>
      </c>
      <c r="J732" s="3">
        <v>0.97</v>
      </c>
      <c r="K732">
        <v>6.29</v>
      </c>
      <c r="L732">
        <v>1.2</v>
      </c>
      <c r="M732">
        <v>5</v>
      </c>
      <c r="N732">
        <v>1087</v>
      </c>
      <c r="O732" s="3">
        <f t="shared" si="22"/>
        <v>77771589</v>
      </c>
      <c r="P732" s="3">
        <f t="shared" si="23"/>
        <v>77490363</v>
      </c>
    </row>
    <row r="733" spans="1:16">
      <c r="A733">
        <v>2016</v>
      </c>
      <c r="B733" t="s">
        <v>47</v>
      </c>
      <c r="C733" t="s">
        <v>44</v>
      </c>
      <c r="D733" t="s">
        <v>42</v>
      </c>
      <c r="E733" t="s">
        <v>19</v>
      </c>
      <c r="F733" t="s">
        <v>28</v>
      </c>
      <c r="G733" s="3">
        <v>77818</v>
      </c>
      <c r="H733" s="3">
        <v>497421</v>
      </c>
      <c r="I733">
        <v>300</v>
      </c>
      <c r="J733" s="3">
        <v>0.97</v>
      </c>
      <c r="K733">
        <v>6.29</v>
      </c>
      <c r="L733">
        <v>1.2</v>
      </c>
      <c r="M733">
        <v>4</v>
      </c>
      <c r="N733">
        <v>684</v>
      </c>
      <c r="O733" s="3">
        <f t="shared" si="22"/>
        <v>53227512</v>
      </c>
      <c r="P733" s="3">
        <f t="shared" si="23"/>
        <v>52730091</v>
      </c>
    </row>
    <row r="734" spans="1:16">
      <c r="A734">
        <v>2017</v>
      </c>
      <c r="B734" t="s">
        <v>48</v>
      </c>
      <c r="C734" t="s">
        <v>17</v>
      </c>
      <c r="D734" t="s">
        <v>52</v>
      </c>
      <c r="E734" t="s">
        <v>19</v>
      </c>
      <c r="F734" t="s">
        <v>28</v>
      </c>
      <c r="G734" s="3">
        <v>106927</v>
      </c>
      <c r="H734" s="3">
        <v>291766</v>
      </c>
      <c r="I734">
        <v>341</v>
      </c>
      <c r="J734" s="3">
        <v>0.97</v>
      </c>
      <c r="K734">
        <v>6.29</v>
      </c>
      <c r="L734">
        <v>1.2</v>
      </c>
      <c r="M734">
        <v>6</v>
      </c>
      <c r="N734">
        <v>933</v>
      </c>
      <c r="O734" s="3">
        <f t="shared" si="22"/>
        <v>99762891</v>
      </c>
      <c r="P734" s="3">
        <f t="shared" si="23"/>
        <v>99471125</v>
      </c>
    </row>
    <row r="735" spans="1:16">
      <c r="A735">
        <v>2023</v>
      </c>
      <c r="B735" t="s">
        <v>48</v>
      </c>
      <c r="C735" t="s">
        <v>31</v>
      </c>
      <c r="D735" t="s">
        <v>42</v>
      </c>
      <c r="E735" t="s">
        <v>19</v>
      </c>
      <c r="F735" t="s">
        <v>24</v>
      </c>
      <c r="G735" s="3">
        <v>100681</v>
      </c>
      <c r="H735" s="3">
        <v>245413</v>
      </c>
      <c r="I735">
        <v>103</v>
      </c>
      <c r="J735" s="3">
        <v>0.97</v>
      </c>
      <c r="K735">
        <v>6.29</v>
      </c>
      <c r="L735">
        <v>1.2</v>
      </c>
      <c r="M735">
        <v>3</v>
      </c>
      <c r="N735">
        <v>235</v>
      </c>
      <c r="O735" s="3">
        <f t="shared" si="22"/>
        <v>23660035</v>
      </c>
      <c r="P735" s="3">
        <f t="shared" si="23"/>
        <v>23414622</v>
      </c>
    </row>
    <row r="736" spans="1:16">
      <c r="A736">
        <v>2021</v>
      </c>
      <c r="B736" t="s">
        <v>25</v>
      </c>
      <c r="C736" t="s">
        <v>40</v>
      </c>
      <c r="D736" t="s">
        <v>22</v>
      </c>
      <c r="E736" t="s">
        <v>23</v>
      </c>
      <c r="F736" t="s">
        <v>20</v>
      </c>
      <c r="G736" s="3">
        <v>114465</v>
      </c>
      <c r="H736" s="3">
        <v>407521</v>
      </c>
      <c r="I736">
        <v>270</v>
      </c>
      <c r="J736" s="3">
        <v>0.97</v>
      </c>
      <c r="K736">
        <v>6.29</v>
      </c>
      <c r="L736">
        <v>1.2</v>
      </c>
      <c r="M736">
        <v>8</v>
      </c>
      <c r="N736">
        <v>553</v>
      </c>
      <c r="O736" s="3">
        <f t="shared" si="22"/>
        <v>63299145</v>
      </c>
      <c r="P736" s="3">
        <f t="shared" si="23"/>
        <v>62891624</v>
      </c>
    </row>
    <row r="737" spans="1:16">
      <c r="A737">
        <v>2021</v>
      </c>
      <c r="B737" t="s">
        <v>35</v>
      </c>
      <c r="C737" t="s">
        <v>44</v>
      </c>
      <c r="D737" t="s">
        <v>52</v>
      </c>
      <c r="E737" t="s">
        <v>19</v>
      </c>
      <c r="F737" t="s">
        <v>28</v>
      </c>
      <c r="G737" s="3">
        <v>72333</v>
      </c>
      <c r="H737" s="3">
        <v>355007</v>
      </c>
      <c r="I737">
        <v>287</v>
      </c>
      <c r="J737" s="3">
        <v>0.97</v>
      </c>
      <c r="K737">
        <v>6.29</v>
      </c>
      <c r="L737">
        <v>1.2</v>
      </c>
      <c r="M737">
        <v>6</v>
      </c>
      <c r="N737">
        <v>644</v>
      </c>
      <c r="O737" s="3">
        <f t="shared" si="22"/>
        <v>46582452</v>
      </c>
      <c r="P737" s="3">
        <f t="shared" si="23"/>
        <v>46227445</v>
      </c>
    </row>
    <row r="738" spans="1:16">
      <c r="A738">
        <v>2020</v>
      </c>
      <c r="B738" t="s">
        <v>16</v>
      </c>
      <c r="C738" t="s">
        <v>40</v>
      </c>
      <c r="D738" t="s">
        <v>22</v>
      </c>
      <c r="E738" t="s">
        <v>23</v>
      </c>
      <c r="F738" t="s">
        <v>28</v>
      </c>
      <c r="G738" s="3">
        <v>51576</v>
      </c>
      <c r="H738" s="3">
        <v>262909</v>
      </c>
      <c r="I738">
        <v>368</v>
      </c>
      <c r="J738" s="3">
        <v>0.97</v>
      </c>
      <c r="K738">
        <v>6.29</v>
      </c>
      <c r="L738">
        <v>1.2</v>
      </c>
      <c r="M738">
        <v>10</v>
      </c>
      <c r="N738">
        <v>1073</v>
      </c>
      <c r="O738" s="3">
        <f t="shared" si="22"/>
        <v>55341048</v>
      </c>
      <c r="P738" s="3">
        <f t="shared" si="23"/>
        <v>55078139</v>
      </c>
    </row>
    <row r="739" spans="1:16">
      <c r="A739">
        <v>2022</v>
      </c>
      <c r="B739" t="s">
        <v>43</v>
      </c>
      <c r="C739" t="s">
        <v>45</v>
      </c>
      <c r="D739" t="s">
        <v>27</v>
      </c>
      <c r="E739" t="s">
        <v>23</v>
      </c>
      <c r="F739" t="s">
        <v>20</v>
      </c>
      <c r="G739" s="3">
        <v>74405</v>
      </c>
      <c r="H739" s="3">
        <v>115439</v>
      </c>
      <c r="I739">
        <v>214</v>
      </c>
      <c r="J739" s="3">
        <v>0.97</v>
      </c>
      <c r="K739">
        <v>6.29</v>
      </c>
      <c r="L739">
        <v>1.2</v>
      </c>
      <c r="M739">
        <v>5</v>
      </c>
      <c r="N739">
        <v>597</v>
      </c>
      <c r="O739" s="3">
        <f t="shared" si="22"/>
        <v>44419785</v>
      </c>
      <c r="P739" s="3">
        <f t="shared" si="23"/>
        <v>44304346</v>
      </c>
    </row>
    <row r="740" spans="1:16">
      <c r="A740">
        <v>2018</v>
      </c>
      <c r="B740" t="s">
        <v>21</v>
      </c>
      <c r="C740" t="s">
        <v>40</v>
      </c>
      <c r="D740" t="s">
        <v>36</v>
      </c>
      <c r="E740" t="s">
        <v>19</v>
      </c>
      <c r="F740" t="s">
        <v>24</v>
      </c>
      <c r="G740" s="3">
        <v>108779</v>
      </c>
      <c r="H740" s="3">
        <v>188266</v>
      </c>
      <c r="I740">
        <v>194</v>
      </c>
      <c r="J740" s="3">
        <v>0.97</v>
      </c>
      <c r="K740">
        <v>6.29</v>
      </c>
      <c r="L740">
        <v>1.2</v>
      </c>
      <c r="M740">
        <v>2</v>
      </c>
      <c r="N740">
        <v>827</v>
      </c>
      <c r="O740" s="3">
        <f t="shared" si="22"/>
        <v>89960233</v>
      </c>
      <c r="P740" s="3">
        <f t="shared" si="23"/>
        <v>89771967</v>
      </c>
    </row>
    <row r="741" spans="1:16">
      <c r="A741">
        <v>2022</v>
      </c>
      <c r="B741" t="s">
        <v>53</v>
      </c>
      <c r="C741" t="s">
        <v>38</v>
      </c>
      <c r="D741" t="s">
        <v>22</v>
      </c>
      <c r="E741" t="s">
        <v>23</v>
      </c>
      <c r="F741" t="s">
        <v>28</v>
      </c>
      <c r="G741" s="3">
        <v>66601</v>
      </c>
      <c r="H741" s="3">
        <v>252459</v>
      </c>
      <c r="I741">
        <v>184</v>
      </c>
      <c r="J741" s="3">
        <v>0.97</v>
      </c>
      <c r="K741">
        <v>6.29</v>
      </c>
      <c r="L741">
        <v>1.2</v>
      </c>
      <c r="M741">
        <v>10</v>
      </c>
      <c r="N741">
        <v>425</v>
      </c>
      <c r="O741" s="3">
        <f t="shared" si="22"/>
        <v>28305425</v>
      </c>
      <c r="P741" s="3">
        <f t="shared" si="23"/>
        <v>28052966</v>
      </c>
    </row>
    <row r="742" spans="1:16">
      <c r="A742">
        <v>2018</v>
      </c>
      <c r="B742" t="s">
        <v>25</v>
      </c>
      <c r="C742" t="s">
        <v>51</v>
      </c>
      <c r="D742" t="s">
        <v>32</v>
      </c>
      <c r="E742" t="s">
        <v>19</v>
      </c>
      <c r="F742" t="s">
        <v>33</v>
      </c>
      <c r="G742" s="3">
        <v>102946</v>
      </c>
      <c r="H742" s="3">
        <v>171361</v>
      </c>
      <c r="I742">
        <v>396</v>
      </c>
      <c r="J742" s="3">
        <v>0.97</v>
      </c>
      <c r="K742">
        <v>6.29</v>
      </c>
      <c r="L742">
        <v>1.2</v>
      </c>
      <c r="M742">
        <v>10</v>
      </c>
      <c r="N742">
        <v>869</v>
      </c>
      <c r="O742" s="3">
        <f t="shared" si="22"/>
        <v>89460074</v>
      </c>
      <c r="P742" s="3">
        <f t="shared" si="23"/>
        <v>89288713</v>
      </c>
    </row>
    <row r="743" spans="1:16">
      <c r="A743">
        <v>2022</v>
      </c>
      <c r="B743" t="s">
        <v>16</v>
      </c>
      <c r="C743" t="s">
        <v>44</v>
      </c>
      <c r="D743" t="s">
        <v>42</v>
      </c>
      <c r="E743" t="s">
        <v>19</v>
      </c>
      <c r="F743" t="s">
        <v>28</v>
      </c>
      <c r="G743" s="3">
        <v>102356</v>
      </c>
      <c r="H743" s="3">
        <v>262986</v>
      </c>
      <c r="I743">
        <v>389</v>
      </c>
      <c r="J743" s="3">
        <v>0.97</v>
      </c>
      <c r="K743">
        <v>6.29</v>
      </c>
      <c r="L743">
        <v>1.2</v>
      </c>
      <c r="M743">
        <v>7</v>
      </c>
      <c r="N743">
        <v>1067</v>
      </c>
      <c r="O743" s="3">
        <f t="shared" si="22"/>
        <v>109213852</v>
      </c>
      <c r="P743" s="3">
        <f t="shared" si="23"/>
        <v>108950866</v>
      </c>
    </row>
    <row r="744" spans="1:16">
      <c r="A744">
        <v>2023</v>
      </c>
      <c r="B744" t="s">
        <v>53</v>
      </c>
      <c r="C744" t="s">
        <v>40</v>
      </c>
      <c r="D744" t="s">
        <v>30</v>
      </c>
      <c r="E744" t="s">
        <v>23</v>
      </c>
      <c r="F744" t="s">
        <v>33</v>
      </c>
      <c r="G744" s="3">
        <v>87116</v>
      </c>
      <c r="H744" s="3">
        <v>247286</v>
      </c>
      <c r="I744">
        <v>318</v>
      </c>
      <c r="J744" s="3">
        <v>0.97</v>
      </c>
      <c r="K744">
        <v>6.29</v>
      </c>
      <c r="L744">
        <v>1.2</v>
      </c>
      <c r="M744">
        <v>2</v>
      </c>
      <c r="N744">
        <v>816</v>
      </c>
      <c r="O744" s="3">
        <f t="shared" si="22"/>
        <v>71086656</v>
      </c>
      <c r="P744" s="3">
        <f t="shared" si="23"/>
        <v>70839370</v>
      </c>
    </row>
    <row r="745" spans="1:16">
      <c r="A745">
        <v>2017</v>
      </c>
      <c r="B745" t="s">
        <v>16</v>
      </c>
      <c r="C745" t="s">
        <v>17</v>
      </c>
      <c r="D745" t="s">
        <v>41</v>
      </c>
      <c r="E745" t="s">
        <v>23</v>
      </c>
      <c r="F745" t="s">
        <v>24</v>
      </c>
      <c r="G745" s="3">
        <v>97894</v>
      </c>
      <c r="H745" s="3">
        <v>408320</v>
      </c>
      <c r="I745">
        <v>78</v>
      </c>
      <c r="J745" s="3">
        <v>0.97</v>
      </c>
      <c r="K745">
        <v>6.29</v>
      </c>
      <c r="L745">
        <v>1.2</v>
      </c>
      <c r="M745">
        <v>1</v>
      </c>
      <c r="N745">
        <v>457</v>
      </c>
      <c r="O745" s="3">
        <f t="shared" si="22"/>
        <v>44737558</v>
      </c>
      <c r="P745" s="3">
        <f t="shared" si="23"/>
        <v>44329238</v>
      </c>
    </row>
    <row r="746" spans="1:16">
      <c r="A746">
        <v>2017</v>
      </c>
      <c r="B746" t="s">
        <v>16</v>
      </c>
      <c r="C746" t="s">
        <v>26</v>
      </c>
      <c r="D746" t="s">
        <v>52</v>
      </c>
      <c r="E746" t="s">
        <v>19</v>
      </c>
      <c r="F746" t="s">
        <v>28</v>
      </c>
      <c r="G746" s="3">
        <v>69635</v>
      </c>
      <c r="H746" s="3">
        <v>79777</v>
      </c>
      <c r="I746">
        <v>113</v>
      </c>
      <c r="J746" s="3">
        <v>0.97</v>
      </c>
      <c r="K746">
        <v>6.29</v>
      </c>
      <c r="L746">
        <v>1.2</v>
      </c>
      <c r="M746">
        <v>7</v>
      </c>
      <c r="N746">
        <v>533</v>
      </c>
      <c r="O746" s="3">
        <f t="shared" si="22"/>
        <v>37115455</v>
      </c>
      <c r="P746" s="3">
        <f t="shared" si="23"/>
        <v>37035678</v>
      </c>
    </row>
    <row r="747" spans="1:16">
      <c r="A747">
        <v>2016</v>
      </c>
      <c r="B747" t="s">
        <v>47</v>
      </c>
      <c r="C747" t="s">
        <v>38</v>
      </c>
      <c r="D747" t="s">
        <v>18</v>
      </c>
      <c r="E747" t="s">
        <v>19</v>
      </c>
      <c r="F747" t="s">
        <v>20</v>
      </c>
      <c r="G747" s="3">
        <v>42465</v>
      </c>
      <c r="H747" s="3">
        <v>306427</v>
      </c>
      <c r="I747">
        <v>255</v>
      </c>
      <c r="J747" s="3">
        <v>0.97</v>
      </c>
      <c r="K747">
        <v>6.29</v>
      </c>
      <c r="L747">
        <v>1.2</v>
      </c>
      <c r="M747">
        <v>5</v>
      </c>
      <c r="N747">
        <v>775</v>
      </c>
      <c r="O747" s="3">
        <f t="shared" si="22"/>
        <v>32910375</v>
      </c>
      <c r="P747" s="3">
        <f t="shared" si="23"/>
        <v>32603948</v>
      </c>
    </row>
    <row r="748" spans="1:16">
      <c r="A748">
        <v>2024</v>
      </c>
      <c r="B748" t="s">
        <v>16</v>
      </c>
      <c r="C748" t="s">
        <v>38</v>
      </c>
      <c r="D748" t="s">
        <v>30</v>
      </c>
      <c r="E748" t="s">
        <v>23</v>
      </c>
      <c r="F748" t="s">
        <v>20</v>
      </c>
      <c r="G748" s="3">
        <v>91754</v>
      </c>
      <c r="H748" s="3">
        <v>207255</v>
      </c>
      <c r="I748">
        <v>170</v>
      </c>
      <c r="J748" s="3">
        <v>0.97</v>
      </c>
      <c r="K748">
        <v>6.29</v>
      </c>
      <c r="L748">
        <v>1.2</v>
      </c>
      <c r="M748">
        <v>1</v>
      </c>
      <c r="N748">
        <v>683</v>
      </c>
      <c r="O748" s="3">
        <f t="shared" si="22"/>
        <v>62667982</v>
      </c>
      <c r="P748" s="3">
        <f t="shared" si="23"/>
        <v>62460727</v>
      </c>
    </row>
    <row r="749" spans="1:16">
      <c r="A749">
        <v>2017</v>
      </c>
      <c r="B749" t="s">
        <v>35</v>
      </c>
      <c r="C749" t="s">
        <v>31</v>
      </c>
      <c r="D749" t="s">
        <v>32</v>
      </c>
      <c r="E749" t="s">
        <v>19</v>
      </c>
      <c r="F749" t="s">
        <v>28</v>
      </c>
      <c r="G749" s="3">
        <v>73871</v>
      </c>
      <c r="H749" s="3">
        <v>470661</v>
      </c>
      <c r="I749">
        <v>209</v>
      </c>
      <c r="J749" s="3">
        <v>0.97</v>
      </c>
      <c r="K749">
        <v>6.29</v>
      </c>
      <c r="L749">
        <v>1.2</v>
      </c>
      <c r="M749">
        <v>4</v>
      </c>
      <c r="N749">
        <v>525</v>
      </c>
      <c r="O749" s="3">
        <f t="shared" si="22"/>
        <v>38782275</v>
      </c>
      <c r="P749" s="3">
        <f t="shared" si="23"/>
        <v>38311614</v>
      </c>
    </row>
    <row r="750" spans="1:16">
      <c r="A750">
        <v>2017</v>
      </c>
      <c r="B750" t="s">
        <v>43</v>
      </c>
      <c r="C750" t="s">
        <v>40</v>
      </c>
      <c r="D750" t="s">
        <v>22</v>
      </c>
      <c r="E750" t="s">
        <v>23</v>
      </c>
      <c r="F750" t="s">
        <v>24</v>
      </c>
      <c r="G750" s="3">
        <v>97874</v>
      </c>
      <c r="H750" s="3">
        <v>248110</v>
      </c>
      <c r="I750">
        <v>225</v>
      </c>
      <c r="J750" s="3">
        <v>0.97</v>
      </c>
      <c r="K750">
        <v>6.29</v>
      </c>
      <c r="L750">
        <v>1.2</v>
      </c>
      <c r="M750">
        <v>4</v>
      </c>
      <c r="N750">
        <v>482</v>
      </c>
      <c r="O750" s="3">
        <f t="shared" si="22"/>
        <v>47175268</v>
      </c>
      <c r="P750" s="3">
        <f t="shared" si="23"/>
        <v>46927158</v>
      </c>
    </row>
    <row r="751" spans="1:16">
      <c r="A751">
        <v>2019</v>
      </c>
      <c r="B751" t="s">
        <v>48</v>
      </c>
      <c r="C751" t="s">
        <v>31</v>
      </c>
      <c r="D751" t="s">
        <v>36</v>
      </c>
      <c r="E751" t="s">
        <v>19</v>
      </c>
      <c r="F751" t="s">
        <v>24</v>
      </c>
      <c r="G751" s="3">
        <v>112733</v>
      </c>
      <c r="H751" s="3">
        <v>399345</v>
      </c>
      <c r="I751">
        <v>221</v>
      </c>
      <c r="J751" s="3">
        <v>0.97</v>
      </c>
      <c r="K751">
        <v>6.29</v>
      </c>
      <c r="L751">
        <v>1.2</v>
      </c>
      <c r="M751">
        <v>10</v>
      </c>
      <c r="N751">
        <v>861</v>
      </c>
      <c r="O751" s="3">
        <f t="shared" si="22"/>
        <v>97063113</v>
      </c>
      <c r="P751" s="3">
        <f t="shared" si="23"/>
        <v>96663768</v>
      </c>
    </row>
    <row r="752" spans="1:16">
      <c r="A752">
        <v>2019</v>
      </c>
      <c r="B752" t="s">
        <v>50</v>
      </c>
      <c r="C752" t="s">
        <v>31</v>
      </c>
      <c r="D752" t="s">
        <v>27</v>
      </c>
      <c r="E752" t="s">
        <v>23</v>
      </c>
      <c r="F752" t="s">
        <v>20</v>
      </c>
      <c r="G752" s="3">
        <v>64511</v>
      </c>
      <c r="H752" s="3">
        <v>459414</v>
      </c>
      <c r="I752">
        <v>25</v>
      </c>
      <c r="J752" s="3">
        <v>0.97</v>
      </c>
      <c r="K752">
        <v>6.29</v>
      </c>
      <c r="L752">
        <v>1.2</v>
      </c>
      <c r="M752">
        <v>7</v>
      </c>
      <c r="N752">
        <v>193</v>
      </c>
      <c r="O752" s="3">
        <f t="shared" si="22"/>
        <v>12450623</v>
      </c>
      <c r="P752" s="3">
        <f t="shared" si="23"/>
        <v>11991209</v>
      </c>
    </row>
    <row r="753" spans="1:16">
      <c r="A753">
        <v>2016</v>
      </c>
      <c r="B753" t="s">
        <v>53</v>
      </c>
      <c r="C753" t="s">
        <v>26</v>
      </c>
      <c r="D753" t="s">
        <v>41</v>
      </c>
      <c r="E753" t="s">
        <v>23</v>
      </c>
      <c r="F753" t="s">
        <v>28</v>
      </c>
      <c r="G753" s="3">
        <v>115960</v>
      </c>
      <c r="H753" s="3">
        <v>464627</v>
      </c>
      <c r="I753">
        <v>381</v>
      </c>
      <c r="J753" s="3">
        <v>0.97</v>
      </c>
      <c r="K753">
        <v>6.29</v>
      </c>
      <c r="L753">
        <v>1.2</v>
      </c>
      <c r="M753">
        <v>9</v>
      </c>
      <c r="N753">
        <v>805</v>
      </c>
      <c r="O753" s="3">
        <f t="shared" si="22"/>
        <v>93347800</v>
      </c>
      <c r="P753" s="3">
        <f t="shared" si="23"/>
        <v>92883173</v>
      </c>
    </row>
    <row r="754" spans="1:16">
      <c r="A754">
        <v>2024</v>
      </c>
      <c r="B754" t="s">
        <v>48</v>
      </c>
      <c r="C754" t="s">
        <v>45</v>
      </c>
      <c r="D754" t="s">
        <v>39</v>
      </c>
      <c r="E754" t="s">
        <v>23</v>
      </c>
      <c r="F754" t="s">
        <v>24</v>
      </c>
      <c r="G754" s="3">
        <v>83821</v>
      </c>
      <c r="H754" s="3">
        <v>231649</v>
      </c>
      <c r="I754">
        <v>341</v>
      </c>
      <c r="J754" s="3">
        <v>0.97</v>
      </c>
      <c r="K754">
        <v>6.29</v>
      </c>
      <c r="L754">
        <v>1.2</v>
      </c>
      <c r="M754">
        <v>2</v>
      </c>
      <c r="N754">
        <v>883</v>
      </c>
      <c r="O754" s="3">
        <f t="shared" si="22"/>
        <v>74013943</v>
      </c>
      <c r="P754" s="3">
        <f t="shared" si="23"/>
        <v>73782294</v>
      </c>
    </row>
    <row r="755" spans="1:16">
      <c r="A755">
        <v>2020</v>
      </c>
      <c r="B755" t="s">
        <v>50</v>
      </c>
      <c r="C755" t="s">
        <v>40</v>
      </c>
      <c r="D755" t="s">
        <v>30</v>
      </c>
      <c r="E755" t="s">
        <v>23</v>
      </c>
      <c r="F755" t="s">
        <v>20</v>
      </c>
      <c r="G755" s="3">
        <v>100776</v>
      </c>
      <c r="H755" s="3">
        <v>328011</v>
      </c>
      <c r="I755">
        <v>214</v>
      </c>
      <c r="J755" s="3">
        <v>0.97</v>
      </c>
      <c r="K755">
        <v>6.29</v>
      </c>
      <c r="L755">
        <v>1.2</v>
      </c>
      <c r="M755">
        <v>1</v>
      </c>
      <c r="N755">
        <v>714</v>
      </c>
      <c r="O755" s="3">
        <f t="shared" si="22"/>
        <v>71954064</v>
      </c>
      <c r="P755" s="3">
        <f t="shared" si="23"/>
        <v>71626053</v>
      </c>
    </row>
    <row r="756" spans="1:16">
      <c r="A756">
        <v>2019</v>
      </c>
      <c r="B756" t="s">
        <v>43</v>
      </c>
      <c r="C756" t="s">
        <v>34</v>
      </c>
      <c r="D756" t="s">
        <v>36</v>
      </c>
      <c r="E756" t="s">
        <v>19</v>
      </c>
      <c r="F756" t="s">
        <v>33</v>
      </c>
      <c r="G756" s="3">
        <v>105167</v>
      </c>
      <c r="H756" s="3">
        <v>112501</v>
      </c>
      <c r="I756">
        <v>374</v>
      </c>
      <c r="J756" s="3">
        <v>0.97</v>
      </c>
      <c r="K756">
        <v>6.29</v>
      </c>
      <c r="L756">
        <v>1.2</v>
      </c>
      <c r="M756">
        <v>2</v>
      </c>
      <c r="N756">
        <v>824</v>
      </c>
      <c r="O756" s="3">
        <f t="shared" si="22"/>
        <v>86657608</v>
      </c>
      <c r="P756" s="3">
        <f t="shared" si="23"/>
        <v>86545107</v>
      </c>
    </row>
    <row r="757" spans="1:16">
      <c r="A757">
        <v>2020</v>
      </c>
      <c r="B757" t="s">
        <v>43</v>
      </c>
      <c r="C757" t="s">
        <v>44</v>
      </c>
      <c r="D757" t="s">
        <v>39</v>
      </c>
      <c r="E757" t="s">
        <v>23</v>
      </c>
      <c r="F757" t="s">
        <v>28</v>
      </c>
      <c r="G757" s="3">
        <v>110135</v>
      </c>
      <c r="H757" s="3">
        <v>195338</v>
      </c>
      <c r="I757">
        <v>48</v>
      </c>
      <c r="J757" s="3">
        <v>0.97</v>
      </c>
      <c r="K757">
        <v>6.29</v>
      </c>
      <c r="L757">
        <v>1.2</v>
      </c>
      <c r="M757">
        <v>7</v>
      </c>
      <c r="N757">
        <v>347</v>
      </c>
      <c r="O757" s="3">
        <f t="shared" si="22"/>
        <v>38216845</v>
      </c>
      <c r="P757" s="3">
        <f t="shared" si="23"/>
        <v>38021507</v>
      </c>
    </row>
    <row r="758" spans="1:16">
      <c r="A758">
        <v>2015</v>
      </c>
      <c r="B758" t="s">
        <v>53</v>
      </c>
      <c r="C758" t="s">
        <v>31</v>
      </c>
      <c r="D758" t="s">
        <v>41</v>
      </c>
      <c r="E758" t="s">
        <v>23</v>
      </c>
      <c r="F758" t="s">
        <v>33</v>
      </c>
      <c r="G758" s="3">
        <v>79462</v>
      </c>
      <c r="H758" s="3">
        <v>351566</v>
      </c>
      <c r="I758">
        <v>98</v>
      </c>
      <c r="J758" s="3">
        <v>0.97</v>
      </c>
      <c r="K758">
        <v>6.29</v>
      </c>
      <c r="L758">
        <v>1.2</v>
      </c>
      <c r="M758">
        <v>10</v>
      </c>
      <c r="N758">
        <v>298</v>
      </c>
      <c r="O758" s="3">
        <f t="shared" si="22"/>
        <v>23679676</v>
      </c>
      <c r="P758" s="3">
        <f t="shared" si="23"/>
        <v>23328110</v>
      </c>
    </row>
    <row r="759" spans="1:16">
      <c r="A759">
        <v>2019</v>
      </c>
      <c r="B759" t="s">
        <v>53</v>
      </c>
      <c r="C759" t="s">
        <v>51</v>
      </c>
      <c r="D759" t="s">
        <v>18</v>
      </c>
      <c r="E759" t="s">
        <v>19</v>
      </c>
      <c r="F759" t="s">
        <v>33</v>
      </c>
      <c r="G759" s="3">
        <v>96382</v>
      </c>
      <c r="H759" s="3">
        <v>216280</v>
      </c>
      <c r="I759">
        <v>265</v>
      </c>
      <c r="J759" s="3">
        <v>0.97</v>
      </c>
      <c r="K759">
        <v>6.29</v>
      </c>
      <c r="L759">
        <v>1.2</v>
      </c>
      <c r="M759">
        <v>6</v>
      </c>
      <c r="N759">
        <v>596</v>
      </c>
      <c r="O759" s="3">
        <f t="shared" si="22"/>
        <v>57443672</v>
      </c>
      <c r="P759" s="3">
        <f t="shared" si="23"/>
        <v>57227392</v>
      </c>
    </row>
    <row r="760" spans="1:16">
      <c r="A760">
        <v>2023</v>
      </c>
      <c r="B760" t="s">
        <v>43</v>
      </c>
      <c r="C760" t="s">
        <v>46</v>
      </c>
      <c r="D760" t="s">
        <v>18</v>
      </c>
      <c r="E760" t="s">
        <v>19</v>
      </c>
      <c r="F760" t="s">
        <v>24</v>
      </c>
      <c r="G760" s="3">
        <v>67574</v>
      </c>
      <c r="H760" s="3">
        <v>171544</v>
      </c>
      <c r="I760">
        <v>263</v>
      </c>
      <c r="J760" s="3">
        <v>0.97</v>
      </c>
      <c r="K760">
        <v>6.29</v>
      </c>
      <c r="L760">
        <v>1.2</v>
      </c>
      <c r="M760">
        <v>4</v>
      </c>
      <c r="N760">
        <v>713</v>
      </c>
      <c r="O760" s="3">
        <f t="shared" si="22"/>
        <v>48180262</v>
      </c>
      <c r="P760" s="3">
        <f t="shared" si="23"/>
        <v>48008718</v>
      </c>
    </row>
    <row r="761" spans="1:16">
      <c r="A761">
        <v>2024</v>
      </c>
      <c r="B761" t="s">
        <v>50</v>
      </c>
      <c r="C761" t="s">
        <v>51</v>
      </c>
      <c r="D761" t="s">
        <v>42</v>
      </c>
      <c r="E761" t="s">
        <v>19</v>
      </c>
      <c r="F761" t="s">
        <v>24</v>
      </c>
      <c r="G761" s="3">
        <v>76910</v>
      </c>
      <c r="H761" s="3">
        <v>474429</v>
      </c>
      <c r="I761">
        <v>225</v>
      </c>
      <c r="J761" s="3">
        <v>0.97</v>
      </c>
      <c r="K761">
        <v>6.29</v>
      </c>
      <c r="L761">
        <v>1.2</v>
      </c>
      <c r="M761">
        <v>1</v>
      </c>
      <c r="N761">
        <v>686</v>
      </c>
      <c r="O761" s="3">
        <f t="shared" si="22"/>
        <v>52760260</v>
      </c>
      <c r="P761" s="3">
        <f t="shared" si="23"/>
        <v>52285831</v>
      </c>
    </row>
    <row r="762" spans="1:16">
      <c r="A762">
        <v>2016</v>
      </c>
      <c r="B762" t="s">
        <v>25</v>
      </c>
      <c r="C762" t="s">
        <v>26</v>
      </c>
      <c r="D762" t="s">
        <v>41</v>
      </c>
      <c r="E762" t="s">
        <v>23</v>
      </c>
      <c r="F762" t="s">
        <v>24</v>
      </c>
      <c r="G762" s="3">
        <v>108531</v>
      </c>
      <c r="H762" s="3">
        <v>188439</v>
      </c>
      <c r="I762">
        <v>377</v>
      </c>
      <c r="J762" s="3">
        <v>0.97</v>
      </c>
      <c r="K762">
        <v>6.29</v>
      </c>
      <c r="L762">
        <v>1.2</v>
      </c>
      <c r="M762">
        <v>1</v>
      </c>
      <c r="N762">
        <v>785</v>
      </c>
      <c r="O762" s="3">
        <f t="shared" si="22"/>
        <v>85196835</v>
      </c>
      <c r="P762" s="3">
        <f t="shared" si="23"/>
        <v>85008396</v>
      </c>
    </row>
    <row r="763" spans="1:16">
      <c r="A763">
        <v>2015</v>
      </c>
      <c r="B763" t="s">
        <v>16</v>
      </c>
      <c r="C763" t="s">
        <v>26</v>
      </c>
      <c r="D763" t="s">
        <v>41</v>
      </c>
      <c r="E763" t="s">
        <v>23</v>
      </c>
      <c r="F763" t="s">
        <v>28</v>
      </c>
      <c r="G763" s="3">
        <v>60186</v>
      </c>
      <c r="H763" s="3">
        <v>305230</v>
      </c>
      <c r="I763">
        <v>312</v>
      </c>
      <c r="J763" s="3">
        <v>0.97</v>
      </c>
      <c r="K763">
        <v>6.29</v>
      </c>
      <c r="L763">
        <v>1.2</v>
      </c>
      <c r="M763">
        <v>5</v>
      </c>
      <c r="N763">
        <v>922</v>
      </c>
      <c r="O763" s="3">
        <f t="shared" si="22"/>
        <v>55491492</v>
      </c>
      <c r="P763" s="3">
        <f t="shared" si="23"/>
        <v>55186262</v>
      </c>
    </row>
    <row r="764" spans="1:16">
      <c r="A764">
        <v>2024</v>
      </c>
      <c r="B764" t="s">
        <v>21</v>
      </c>
      <c r="C764" t="s">
        <v>17</v>
      </c>
      <c r="D764" t="s">
        <v>39</v>
      </c>
      <c r="E764" t="s">
        <v>23</v>
      </c>
      <c r="F764" t="s">
        <v>33</v>
      </c>
      <c r="G764" s="3">
        <v>57813</v>
      </c>
      <c r="H764" s="3">
        <v>85362</v>
      </c>
      <c r="I764">
        <v>181</v>
      </c>
      <c r="J764" s="3">
        <v>0.97</v>
      </c>
      <c r="K764">
        <v>6.29</v>
      </c>
      <c r="L764">
        <v>1.2</v>
      </c>
      <c r="M764">
        <v>1</v>
      </c>
      <c r="N764">
        <v>514</v>
      </c>
      <c r="O764" s="3">
        <f t="shared" si="22"/>
        <v>29715882</v>
      </c>
      <c r="P764" s="3">
        <f t="shared" si="23"/>
        <v>29630520</v>
      </c>
    </row>
    <row r="765" spans="1:16">
      <c r="A765">
        <v>2023</v>
      </c>
      <c r="B765" t="s">
        <v>29</v>
      </c>
      <c r="C765" t="s">
        <v>45</v>
      </c>
      <c r="D765" t="s">
        <v>36</v>
      </c>
      <c r="E765" t="s">
        <v>19</v>
      </c>
      <c r="F765" t="s">
        <v>28</v>
      </c>
      <c r="G765" s="3">
        <v>113812</v>
      </c>
      <c r="H765" s="3">
        <v>300449</v>
      </c>
      <c r="I765">
        <v>146</v>
      </c>
      <c r="J765" s="3">
        <v>0.97</v>
      </c>
      <c r="K765">
        <v>6.29</v>
      </c>
      <c r="L765">
        <v>1.2</v>
      </c>
      <c r="M765">
        <v>7</v>
      </c>
      <c r="N765">
        <v>570</v>
      </c>
      <c r="O765" s="3">
        <f t="shared" si="22"/>
        <v>64872840</v>
      </c>
      <c r="P765" s="3">
        <f t="shared" si="23"/>
        <v>64572391</v>
      </c>
    </row>
    <row r="766" spans="1:16">
      <c r="A766">
        <v>2024</v>
      </c>
      <c r="B766" t="s">
        <v>49</v>
      </c>
      <c r="C766" t="s">
        <v>44</v>
      </c>
      <c r="D766" t="s">
        <v>52</v>
      </c>
      <c r="E766" t="s">
        <v>19</v>
      </c>
      <c r="F766" t="s">
        <v>24</v>
      </c>
      <c r="G766" s="3">
        <v>113282</v>
      </c>
      <c r="H766" s="3">
        <v>363732</v>
      </c>
      <c r="I766">
        <v>393</v>
      </c>
      <c r="J766" s="3">
        <v>0.97</v>
      </c>
      <c r="K766">
        <v>6.29</v>
      </c>
      <c r="L766">
        <v>1.2</v>
      </c>
      <c r="M766">
        <v>1</v>
      </c>
      <c r="N766">
        <v>1129</v>
      </c>
      <c r="O766" s="3">
        <f t="shared" si="22"/>
        <v>127895378</v>
      </c>
      <c r="P766" s="3">
        <f t="shared" si="23"/>
        <v>127531646</v>
      </c>
    </row>
    <row r="767" spans="1:16">
      <c r="A767">
        <v>2023</v>
      </c>
      <c r="B767" t="s">
        <v>29</v>
      </c>
      <c r="C767" t="s">
        <v>31</v>
      </c>
      <c r="D767" t="s">
        <v>39</v>
      </c>
      <c r="E767" t="s">
        <v>23</v>
      </c>
      <c r="F767" t="s">
        <v>33</v>
      </c>
      <c r="G767" s="3">
        <v>53557</v>
      </c>
      <c r="H767" s="3">
        <v>219357</v>
      </c>
      <c r="I767">
        <v>187</v>
      </c>
      <c r="J767" s="3">
        <v>0.97</v>
      </c>
      <c r="K767">
        <v>6.29</v>
      </c>
      <c r="L767">
        <v>1.2</v>
      </c>
      <c r="M767">
        <v>1</v>
      </c>
      <c r="N767">
        <v>599</v>
      </c>
      <c r="O767" s="3">
        <f t="shared" si="22"/>
        <v>32080643</v>
      </c>
      <c r="P767" s="3">
        <f t="shared" si="23"/>
        <v>31861286</v>
      </c>
    </row>
    <row r="768" spans="1:16">
      <c r="A768">
        <v>2023</v>
      </c>
      <c r="B768" t="s">
        <v>48</v>
      </c>
      <c r="C768" t="s">
        <v>51</v>
      </c>
      <c r="D768" t="s">
        <v>27</v>
      </c>
      <c r="E768" t="s">
        <v>23</v>
      </c>
      <c r="F768" t="s">
        <v>28</v>
      </c>
      <c r="G768" s="3">
        <v>63060</v>
      </c>
      <c r="H768" s="3">
        <v>176683</v>
      </c>
      <c r="I768">
        <v>86</v>
      </c>
      <c r="J768" s="3">
        <v>0.97</v>
      </c>
      <c r="K768">
        <v>6.29</v>
      </c>
      <c r="L768">
        <v>1.2</v>
      </c>
      <c r="M768">
        <v>2</v>
      </c>
      <c r="N768">
        <v>256</v>
      </c>
      <c r="O768" s="3">
        <f t="shared" si="22"/>
        <v>16143360</v>
      </c>
      <c r="P768" s="3">
        <f t="shared" si="23"/>
        <v>15966677</v>
      </c>
    </row>
    <row r="769" spans="1:16">
      <c r="A769">
        <v>2020</v>
      </c>
      <c r="B769" t="s">
        <v>47</v>
      </c>
      <c r="C769" t="s">
        <v>46</v>
      </c>
      <c r="D769" t="s">
        <v>18</v>
      </c>
      <c r="E769" t="s">
        <v>19</v>
      </c>
      <c r="F769" t="s">
        <v>28</v>
      </c>
      <c r="G769" s="3">
        <v>93866</v>
      </c>
      <c r="H769" s="3">
        <v>306157</v>
      </c>
      <c r="I769">
        <v>197</v>
      </c>
      <c r="J769" s="3">
        <v>0.97</v>
      </c>
      <c r="K769">
        <v>6.29</v>
      </c>
      <c r="L769">
        <v>1.2</v>
      </c>
      <c r="M769">
        <v>10</v>
      </c>
      <c r="N769">
        <v>377</v>
      </c>
      <c r="O769" s="3">
        <f t="shared" si="22"/>
        <v>35387482</v>
      </c>
      <c r="P769" s="3">
        <f t="shared" si="23"/>
        <v>35081325</v>
      </c>
    </row>
    <row r="770" spans="1:16">
      <c r="A770">
        <v>2022</v>
      </c>
      <c r="B770" t="s">
        <v>48</v>
      </c>
      <c r="C770" t="s">
        <v>26</v>
      </c>
      <c r="D770" t="s">
        <v>18</v>
      </c>
      <c r="E770" t="s">
        <v>19</v>
      </c>
      <c r="F770" t="s">
        <v>20</v>
      </c>
      <c r="G770" s="3">
        <v>107104</v>
      </c>
      <c r="H770" s="3">
        <v>255827</v>
      </c>
      <c r="I770">
        <v>24</v>
      </c>
      <c r="J770" s="3">
        <v>0.97</v>
      </c>
      <c r="K770">
        <v>6.29</v>
      </c>
      <c r="L770">
        <v>1.2</v>
      </c>
      <c r="M770">
        <v>3</v>
      </c>
      <c r="N770">
        <v>185</v>
      </c>
      <c r="O770" s="3">
        <f t="shared" si="22"/>
        <v>19814240</v>
      </c>
      <c r="P770" s="3">
        <f t="shared" si="23"/>
        <v>19558413</v>
      </c>
    </row>
    <row r="771" spans="1:16">
      <c r="A771">
        <v>2015</v>
      </c>
      <c r="B771" t="s">
        <v>47</v>
      </c>
      <c r="C771" t="s">
        <v>26</v>
      </c>
      <c r="D771" t="s">
        <v>42</v>
      </c>
      <c r="E771" t="s">
        <v>19</v>
      </c>
      <c r="F771" t="s">
        <v>28</v>
      </c>
      <c r="G771" s="3">
        <v>119577</v>
      </c>
      <c r="H771" s="3">
        <v>252918</v>
      </c>
      <c r="I771">
        <v>301</v>
      </c>
      <c r="J771" s="3">
        <v>0.97</v>
      </c>
      <c r="K771">
        <v>6.29</v>
      </c>
      <c r="L771">
        <v>1.2</v>
      </c>
      <c r="M771">
        <v>1</v>
      </c>
      <c r="N771">
        <v>678</v>
      </c>
      <c r="O771" s="3">
        <f t="shared" ref="O771:O834" si="24">N771*G771</f>
        <v>81073206</v>
      </c>
      <c r="P771" s="3">
        <f t="shared" ref="P771:P834" si="25">O771-H771</f>
        <v>80820288</v>
      </c>
    </row>
    <row r="772" spans="1:16">
      <c r="A772">
        <v>2024</v>
      </c>
      <c r="B772" t="s">
        <v>50</v>
      </c>
      <c r="C772" t="s">
        <v>45</v>
      </c>
      <c r="D772" t="s">
        <v>27</v>
      </c>
      <c r="E772" t="s">
        <v>23</v>
      </c>
      <c r="F772" t="s">
        <v>24</v>
      </c>
      <c r="G772" s="3">
        <v>41080</v>
      </c>
      <c r="H772" s="3">
        <v>348451</v>
      </c>
      <c r="I772">
        <v>328</v>
      </c>
      <c r="J772" s="3">
        <v>0.97</v>
      </c>
      <c r="K772">
        <v>6.29</v>
      </c>
      <c r="L772">
        <v>1.2</v>
      </c>
      <c r="M772">
        <v>9</v>
      </c>
      <c r="N772">
        <v>967</v>
      </c>
      <c r="O772" s="3">
        <f t="shared" si="24"/>
        <v>39724360</v>
      </c>
      <c r="P772" s="3">
        <f t="shared" si="25"/>
        <v>39375909</v>
      </c>
    </row>
    <row r="773" spans="1:16">
      <c r="A773">
        <v>2018</v>
      </c>
      <c r="B773" t="s">
        <v>47</v>
      </c>
      <c r="C773" t="s">
        <v>46</v>
      </c>
      <c r="D773" t="s">
        <v>18</v>
      </c>
      <c r="E773" t="s">
        <v>19</v>
      </c>
      <c r="F773" t="s">
        <v>28</v>
      </c>
      <c r="G773" s="3">
        <v>48854</v>
      </c>
      <c r="H773" s="3">
        <v>392424</v>
      </c>
      <c r="I773">
        <v>334</v>
      </c>
      <c r="J773" s="3">
        <v>0.97</v>
      </c>
      <c r="K773">
        <v>6.29</v>
      </c>
      <c r="L773">
        <v>1.2</v>
      </c>
      <c r="M773">
        <v>10</v>
      </c>
      <c r="N773">
        <v>966</v>
      </c>
      <c r="O773" s="3">
        <f t="shared" si="24"/>
        <v>47192964</v>
      </c>
      <c r="P773" s="3">
        <f t="shared" si="25"/>
        <v>46800540</v>
      </c>
    </row>
    <row r="774" spans="1:16">
      <c r="A774">
        <v>2015</v>
      </c>
      <c r="B774" t="s">
        <v>53</v>
      </c>
      <c r="C774" t="s">
        <v>46</v>
      </c>
      <c r="D774" t="s">
        <v>39</v>
      </c>
      <c r="E774" t="s">
        <v>23</v>
      </c>
      <c r="F774" t="s">
        <v>33</v>
      </c>
      <c r="G774" s="3">
        <v>102695</v>
      </c>
      <c r="H774" s="3">
        <v>463083</v>
      </c>
      <c r="I774">
        <v>223</v>
      </c>
      <c r="J774" s="3">
        <v>0.97</v>
      </c>
      <c r="K774">
        <v>6.29</v>
      </c>
      <c r="L774">
        <v>1.2</v>
      </c>
      <c r="M774">
        <v>8</v>
      </c>
      <c r="N774">
        <v>538</v>
      </c>
      <c r="O774" s="3">
        <f t="shared" si="24"/>
        <v>55249910</v>
      </c>
      <c r="P774" s="3">
        <f t="shared" si="25"/>
        <v>54786827</v>
      </c>
    </row>
    <row r="775" spans="1:16">
      <c r="A775">
        <v>2022</v>
      </c>
      <c r="B775" t="s">
        <v>25</v>
      </c>
      <c r="C775" t="s">
        <v>45</v>
      </c>
      <c r="D775" t="s">
        <v>27</v>
      </c>
      <c r="E775" t="s">
        <v>23</v>
      </c>
      <c r="F775" t="s">
        <v>28</v>
      </c>
      <c r="G775" s="3">
        <v>62025</v>
      </c>
      <c r="H775" s="3">
        <v>368667</v>
      </c>
      <c r="I775">
        <v>217</v>
      </c>
      <c r="J775" s="3">
        <v>0.97</v>
      </c>
      <c r="K775">
        <v>6.29</v>
      </c>
      <c r="L775">
        <v>1.2</v>
      </c>
      <c r="M775">
        <v>5</v>
      </c>
      <c r="N775">
        <v>880</v>
      </c>
      <c r="O775" s="3">
        <f t="shared" si="24"/>
        <v>54582000</v>
      </c>
      <c r="P775" s="3">
        <f t="shared" si="25"/>
        <v>54213333</v>
      </c>
    </row>
    <row r="776" spans="1:16">
      <c r="A776">
        <v>2015</v>
      </c>
      <c r="B776" t="s">
        <v>21</v>
      </c>
      <c r="C776" t="s">
        <v>26</v>
      </c>
      <c r="D776" t="s">
        <v>39</v>
      </c>
      <c r="E776" t="s">
        <v>23</v>
      </c>
      <c r="F776" t="s">
        <v>20</v>
      </c>
      <c r="G776" s="3">
        <v>87982</v>
      </c>
      <c r="H776" s="3">
        <v>449594</v>
      </c>
      <c r="I776">
        <v>178</v>
      </c>
      <c r="J776" s="3">
        <v>0.97</v>
      </c>
      <c r="K776">
        <v>6.29</v>
      </c>
      <c r="L776">
        <v>1.2</v>
      </c>
      <c r="M776">
        <v>2</v>
      </c>
      <c r="N776">
        <v>495</v>
      </c>
      <c r="O776" s="3">
        <f t="shared" si="24"/>
        <v>43551090</v>
      </c>
      <c r="P776" s="3">
        <f t="shared" si="25"/>
        <v>43101496</v>
      </c>
    </row>
    <row r="777" spans="1:16">
      <c r="A777">
        <v>2017</v>
      </c>
      <c r="B777" t="s">
        <v>21</v>
      </c>
      <c r="C777" t="s">
        <v>44</v>
      </c>
      <c r="D777" t="s">
        <v>52</v>
      </c>
      <c r="E777" t="s">
        <v>19</v>
      </c>
      <c r="F777" t="s">
        <v>33</v>
      </c>
      <c r="G777" s="3">
        <v>76081</v>
      </c>
      <c r="H777" s="3">
        <v>265757</v>
      </c>
      <c r="I777">
        <v>339</v>
      </c>
      <c r="J777" s="3">
        <v>0.97</v>
      </c>
      <c r="K777">
        <v>6.29</v>
      </c>
      <c r="L777">
        <v>1.2</v>
      </c>
      <c r="M777">
        <v>5</v>
      </c>
      <c r="N777">
        <v>879</v>
      </c>
      <c r="O777" s="3">
        <f t="shared" si="24"/>
        <v>66875199</v>
      </c>
      <c r="P777" s="3">
        <f t="shared" si="25"/>
        <v>66609442</v>
      </c>
    </row>
    <row r="778" spans="1:16">
      <c r="A778">
        <v>2018</v>
      </c>
      <c r="B778" t="s">
        <v>53</v>
      </c>
      <c r="C778" t="s">
        <v>40</v>
      </c>
      <c r="D778" t="s">
        <v>52</v>
      </c>
      <c r="E778" t="s">
        <v>19</v>
      </c>
      <c r="F778" t="s">
        <v>33</v>
      </c>
      <c r="G778" s="3">
        <v>39368</v>
      </c>
      <c r="H778" s="3">
        <v>157669</v>
      </c>
      <c r="I778">
        <v>289</v>
      </c>
      <c r="J778" s="3">
        <v>0.97</v>
      </c>
      <c r="K778">
        <v>6.29</v>
      </c>
      <c r="L778">
        <v>1.2</v>
      </c>
      <c r="M778">
        <v>6</v>
      </c>
      <c r="N778">
        <v>971</v>
      </c>
      <c r="O778" s="3">
        <f t="shared" si="24"/>
        <v>38226328</v>
      </c>
      <c r="P778" s="3">
        <f t="shared" si="25"/>
        <v>38068659</v>
      </c>
    </row>
    <row r="779" spans="1:16">
      <c r="A779">
        <v>2022</v>
      </c>
      <c r="B779" t="s">
        <v>25</v>
      </c>
      <c r="C779" t="s">
        <v>40</v>
      </c>
      <c r="D779" t="s">
        <v>18</v>
      </c>
      <c r="E779" t="s">
        <v>19</v>
      </c>
      <c r="F779" t="s">
        <v>20</v>
      </c>
      <c r="G779" s="3">
        <v>62094</v>
      </c>
      <c r="H779" s="3">
        <v>258030</v>
      </c>
      <c r="I779">
        <v>314</v>
      </c>
      <c r="J779" s="3">
        <v>0.97</v>
      </c>
      <c r="K779">
        <v>6.29</v>
      </c>
      <c r="L779">
        <v>1.2</v>
      </c>
      <c r="M779">
        <v>1</v>
      </c>
      <c r="N779">
        <v>1012</v>
      </c>
      <c r="O779" s="3">
        <f t="shared" si="24"/>
        <v>62839128</v>
      </c>
      <c r="P779" s="3">
        <f t="shared" si="25"/>
        <v>62581098</v>
      </c>
    </row>
    <row r="780" spans="1:16">
      <c r="A780">
        <v>2020</v>
      </c>
      <c r="B780" t="s">
        <v>35</v>
      </c>
      <c r="C780" t="s">
        <v>45</v>
      </c>
      <c r="D780" t="s">
        <v>18</v>
      </c>
      <c r="E780" t="s">
        <v>19</v>
      </c>
      <c r="F780" t="s">
        <v>24</v>
      </c>
      <c r="G780" s="3">
        <v>81040</v>
      </c>
      <c r="H780" s="3">
        <v>208998</v>
      </c>
      <c r="I780">
        <v>155</v>
      </c>
      <c r="J780" s="3">
        <v>0.97</v>
      </c>
      <c r="K780">
        <v>6.29</v>
      </c>
      <c r="L780">
        <v>1.2</v>
      </c>
      <c r="M780">
        <v>4</v>
      </c>
      <c r="N780">
        <v>707</v>
      </c>
      <c r="O780" s="3">
        <f t="shared" si="24"/>
        <v>57295280</v>
      </c>
      <c r="P780" s="3">
        <f t="shared" si="25"/>
        <v>57086282</v>
      </c>
    </row>
    <row r="781" spans="1:16">
      <c r="A781">
        <v>2024</v>
      </c>
      <c r="B781" t="s">
        <v>29</v>
      </c>
      <c r="C781" t="s">
        <v>46</v>
      </c>
      <c r="D781" t="s">
        <v>36</v>
      </c>
      <c r="E781" t="s">
        <v>19</v>
      </c>
      <c r="F781" t="s">
        <v>33</v>
      </c>
      <c r="G781" s="3">
        <v>101766</v>
      </c>
      <c r="H781" s="3">
        <v>153215</v>
      </c>
      <c r="I781">
        <v>272</v>
      </c>
      <c r="J781" s="3">
        <v>0.97</v>
      </c>
      <c r="K781">
        <v>6.29</v>
      </c>
      <c r="L781">
        <v>1.2</v>
      </c>
      <c r="M781">
        <v>9</v>
      </c>
      <c r="N781">
        <v>753</v>
      </c>
      <c r="O781" s="3">
        <f t="shared" si="24"/>
        <v>76629798</v>
      </c>
      <c r="P781" s="3">
        <f t="shared" si="25"/>
        <v>76476583</v>
      </c>
    </row>
    <row r="782" spans="1:16">
      <c r="A782">
        <v>2021</v>
      </c>
      <c r="B782" t="s">
        <v>50</v>
      </c>
      <c r="C782" t="s">
        <v>31</v>
      </c>
      <c r="D782" t="s">
        <v>52</v>
      </c>
      <c r="E782" t="s">
        <v>19</v>
      </c>
      <c r="F782" t="s">
        <v>24</v>
      </c>
      <c r="G782" s="3">
        <v>118053</v>
      </c>
      <c r="H782" s="3">
        <v>148707</v>
      </c>
      <c r="I782">
        <v>13</v>
      </c>
      <c r="J782" s="3">
        <v>0.97</v>
      </c>
      <c r="K782">
        <v>6.29</v>
      </c>
      <c r="L782">
        <v>1.2</v>
      </c>
      <c r="M782">
        <v>2</v>
      </c>
      <c r="N782">
        <v>290</v>
      </c>
      <c r="O782" s="3">
        <f t="shared" si="24"/>
        <v>34235370</v>
      </c>
      <c r="P782" s="3">
        <f t="shared" si="25"/>
        <v>34086663</v>
      </c>
    </row>
    <row r="783" spans="1:16">
      <c r="A783">
        <v>2022</v>
      </c>
      <c r="B783" t="s">
        <v>29</v>
      </c>
      <c r="C783" t="s">
        <v>45</v>
      </c>
      <c r="D783" t="s">
        <v>30</v>
      </c>
      <c r="E783" t="s">
        <v>23</v>
      </c>
      <c r="F783" t="s">
        <v>33</v>
      </c>
      <c r="G783" s="3">
        <v>58991</v>
      </c>
      <c r="H783" s="3">
        <v>456396</v>
      </c>
      <c r="I783">
        <v>99</v>
      </c>
      <c r="J783" s="3">
        <v>0.97</v>
      </c>
      <c r="K783">
        <v>6.29</v>
      </c>
      <c r="L783">
        <v>1.2</v>
      </c>
      <c r="M783">
        <v>5</v>
      </c>
      <c r="N783">
        <v>457</v>
      </c>
      <c r="O783" s="3">
        <f t="shared" si="24"/>
        <v>26958887</v>
      </c>
      <c r="P783" s="3">
        <f t="shared" si="25"/>
        <v>26502491</v>
      </c>
    </row>
    <row r="784" spans="1:16">
      <c r="A784">
        <v>2016</v>
      </c>
      <c r="B784" t="s">
        <v>35</v>
      </c>
      <c r="C784" t="s">
        <v>44</v>
      </c>
      <c r="D784" t="s">
        <v>30</v>
      </c>
      <c r="E784" t="s">
        <v>23</v>
      </c>
      <c r="F784" t="s">
        <v>33</v>
      </c>
      <c r="G784" s="3">
        <v>36301</v>
      </c>
      <c r="H784" s="3">
        <v>142837</v>
      </c>
      <c r="I784">
        <v>69</v>
      </c>
      <c r="J784" s="3">
        <v>0.97</v>
      </c>
      <c r="K784">
        <v>6.29</v>
      </c>
      <c r="L784">
        <v>1.2</v>
      </c>
      <c r="M784">
        <v>1</v>
      </c>
      <c r="N784">
        <v>595</v>
      </c>
      <c r="O784" s="3">
        <f t="shared" si="24"/>
        <v>21599095</v>
      </c>
      <c r="P784" s="3">
        <f t="shared" si="25"/>
        <v>21456258</v>
      </c>
    </row>
    <row r="785" spans="1:16">
      <c r="A785">
        <v>2024</v>
      </c>
      <c r="B785" t="s">
        <v>35</v>
      </c>
      <c r="C785" t="s">
        <v>45</v>
      </c>
      <c r="D785" t="s">
        <v>42</v>
      </c>
      <c r="E785" t="s">
        <v>19</v>
      </c>
      <c r="F785" t="s">
        <v>24</v>
      </c>
      <c r="G785" s="3">
        <v>63610</v>
      </c>
      <c r="H785" s="3">
        <v>430214</v>
      </c>
      <c r="I785">
        <v>320</v>
      </c>
      <c r="J785" s="3">
        <v>0.97</v>
      </c>
      <c r="K785">
        <v>6.29</v>
      </c>
      <c r="L785">
        <v>1.2</v>
      </c>
      <c r="M785">
        <v>4</v>
      </c>
      <c r="N785">
        <v>1086</v>
      </c>
      <c r="O785" s="3">
        <f t="shared" si="24"/>
        <v>69080460</v>
      </c>
      <c r="P785" s="3">
        <f t="shared" si="25"/>
        <v>68650246</v>
      </c>
    </row>
    <row r="786" spans="1:16">
      <c r="A786">
        <v>2022</v>
      </c>
      <c r="B786" t="s">
        <v>48</v>
      </c>
      <c r="C786" t="s">
        <v>38</v>
      </c>
      <c r="D786" t="s">
        <v>52</v>
      </c>
      <c r="E786" t="s">
        <v>19</v>
      </c>
      <c r="F786" t="s">
        <v>33</v>
      </c>
      <c r="G786" s="3">
        <v>116463</v>
      </c>
      <c r="H786" s="3">
        <v>480147</v>
      </c>
      <c r="I786">
        <v>25</v>
      </c>
      <c r="J786" s="3">
        <v>0.97</v>
      </c>
      <c r="K786">
        <v>6.29</v>
      </c>
      <c r="L786">
        <v>1.2</v>
      </c>
      <c r="M786">
        <v>4</v>
      </c>
      <c r="N786">
        <v>244</v>
      </c>
      <c r="O786" s="3">
        <f t="shared" si="24"/>
        <v>28416972</v>
      </c>
      <c r="P786" s="3">
        <f t="shared" si="25"/>
        <v>27936825</v>
      </c>
    </row>
    <row r="787" spans="1:16">
      <c r="A787">
        <v>2017</v>
      </c>
      <c r="B787" t="s">
        <v>43</v>
      </c>
      <c r="C787" t="s">
        <v>51</v>
      </c>
      <c r="D787" t="s">
        <v>39</v>
      </c>
      <c r="E787" t="s">
        <v>23</v>
      </c>
      <c r="F787" t="s">
        <v>24</v>
      </c>
      <c r="G787" s="3">
        <v>69678</v>
      </c>
      <c r="H787" s="3">
        <v>467230</v>
      </c>
      <c r="I787">
        <v>236</v>
      </c>
      <c r="J787" s="3">
        <v>0.97</v>
      </c>
      <c r="K787">
        <v>6.29</v>
      </c>
      <c r="L787">
        <v>1.2</v>
      </c>
      <c r="M787">
        <v>6</v>
      </c>
      <c r="N787">
        <v>889</v>
      </c>
      <c r="O787" s="3">
        <f t="shared" si="24"/>
        <v>61943742</v>
      </c>
      <c r="P787" s="3">
        <f t="shared" si="25"/>
        <v>61476512</v>
      </c>
    </row>
    <row r="788" spans="1:16">
      <c r="A788">
        <v>2021</v>
      </c>
      <c r="B788" t="s">
        <v>48</v>
      </c>
      <c r="C788" t="s">
        <v>46</v>
      </c>
      <c r="D788" t="s">
        <v>39</v>
      </c>
      <c r="E788" t="s">
        <v>23</v>
      </c>
      <c r="F788" t="s">
        <v>20</v>
      </c>
      <c r="G788" s="3">
        <v>59466</v>
      </c>
      <c r="H788" s="3">
        <v>295847</v>
      </c>
      <c r="I788">
        <v>38</v>
      </c>
      <c r="J788" s="3">
        <v>0.97</v>
      </c>
      <c r="K788">
        <v>6.29</v>
      </c>
      <c r="L788">
        <v>1.2</v>
      </c>
      <c r="M788">
        <v>10</v>
      </c>
      <c r="N788">
        <v>415</v>
      </c>
      <c r="O788" s="3">
        <f t="shared" si="24"/>
        <v>24678390</v>
      </c>
      <c r="P788" s="3">
        <f t="shared" si="25"/>
        <v>24382543</v>
      </c>
    </row>
    <row r="789" spans="1:16">
      <c r="A789">
        <v>2017</v>
      </c>
      <c r="B789" t="s">
        <v>43</v>
      </c>
      <c r="C789" t="s">
        <v>17</v>
      </c>
      <c r="D789" t="s">
        <v>32</v>
      </c>
      <c r="E789" t="s">
        <v>19</v>
      </c>
      <c r="F789" t="s">
        <v>24</v>
      </c>
      <c r="G789" s="3">
        <v>115440</v>
      </c>
      <c r="H789" s="3">
        <v>277544</v>
      </c>
      <c r="I789">
        <v>160</v>
      </c>
      <c r="J789" s="3">
        <v>0.97</v>
      </c>
      <c r="K789">
        <v>6.29</v>
      </c>
      <c r="L789">
        <v>1.2</v>
      </c>
      <c r="M789">
        <v>9</v>
      </c>
      <c r="N789">
        <v>527</v>
      </c>
      <c r="O789" s="3">
        <f t="shared" si="24"/>
        <v>60836880</v>
      </c>
      <c r="P789" s="3">
        <f t="shared" si="25"/>
        <v>60559336</v>
      </c>
    </row>
    <row r="790" spans="1:16">
      <c r="A790">
        <v>2021</v>
      </c>
      <c r="B790" t="s">
        <v>49</v>
      </c>
      <c r="C790" t="s">
        <v>17</v>
      </c>
      <c r="D790" t="s">
        <v>27</v>
      </c>
      <c r="E790" t="s">
        <v>23</v>
      </c>
      <c r="F790" t="s">
        <v>20</v>
      </c>
      <c r="G790" s="3">
        <v>75875</v>
      </c>
      <c r="H790" s="3">
        <v>392016</v>
      </c>
      <c r="I790">
        <v>254</v>
      </c>
      <c r="J790" s="3">
        <v>0.97</v>
      </c>
      <c r="K790">
        <v>6.29</v>
      </c>
      <c r="L790">
        <v>1.2</v>
      </c>
      <c r="M790">
        <v>3</v>
      </c>
      <c r="N790">
        <v>694</v>
      </c>
      <c r="O790" s="3">
        <f t="shared" si="24"/>
        <v>52657250</v>
      </c>
      <c r="P790" s="3">
        <f t="shared" si="25"/>
        <v>52265234</v>
      </c>
    </row>
    <row r="791" spans="1:16">
      <c r="A791">
        <v>2016</v>
      </c>
      <c r="B791" t="s">
        <v>47</v>
      </c>
      <c r="C791" t="s">
        <v>46</v>
      </c>
      <c r="D791" t="s">
        <v>22</v>
      </c>
      <c r="E791" t="s">
        <v>23</v>
      </c>
      <c r="F791" t="s">
        <v>33</v>
      </c>
      <c r="G791" s="3">
        <v>61081</v>
      </c>
      <c r="H791" s="3">
        <v>399880</v>
      </c>
      <c r="I791">
        <v>279</v>
      </c>
      <c r="J791" s="3">
        <v>0.97</v>
      </c>
      <c r="K791">
        <v>6.29</v>
      </c>
      <c r="L791">
        <v>1.2</v>
      </c>
      <c r="M791">
        <v>9</v>
      </c>
      <c r="N791">
        <v>848</v>
      </c>
      <c r="O791" s="3">
        <f t="shared" si="24"/>
        <v>51796688</v>
      </c>
      <c r="P791" s="3">
        <f t="shared" si="25"/>
        <v>51396808</v>
      </c>
    </row>
    <row r="792" spans="1:16">
      <c r="A792">
        <v>2024</v>
      </c>
      <c r="B792" t="s">
        <v>25</v>
      </c>
      <c r="C792" t="s">
        <v>44</v>
      </c>
      <c r="D792" t="s">
        <v>30</v>
      </c>
      <c r="E792" t="s">
        <v>23</v>
      </c>
      <c r="F792" t="s">
        <v>24</v>
      </c>
      <c r="G792" s="3">
        <v>59354</v>
      </c>
      <c r="H792" s="3">
        <v>317614</v>
      </c>
      <c r="I792">
        <v>88</v>
      </c>
      <c r="J792" s="3">
        <v>0.97</v>
      </c>
      <c r="K792">
        <v>6.29</v>
      </c>
      <c r="L792">
        <v>1.2</v>
      </c>
      <c r="M792">
        <v>6</v>
      </c>
      <c r="N792">
        <v>426</v>
      </c>
      <c r="O792" s="3">
        <f t="shared" si="24"/>
        <v>25284804</v>
      </c>
      <c r="P792" s="3">
        <f t="shared" si="25"/>
        <v>24967190</v>
      </c>
    </row>
    <row r="793" spans="1:16">
      <c r="A793">
        <v>2020</v>
      </c>
      <c r="B793" t="s">
        <v>43</v>
      </c>
      <c r="C793" t="s">
        <v>38</v>
      </c>
      <c r="D793" t="s">
        <v>18</v>
      </c>
      <c r="E793" t="s">
        <v>19</v>
      </c>
      <c r="F793" t="s">
        <v>33</v>
      </c>
      <c r="G793" s="3">
        <v>53300</v>
      </c>
      <c r="H793" s="3">
        <v>277467</v>
      </c>
      <c r="I793">
        <v>298</v>
      </c>
      <c r="J793" s="3">
        <v>0.97</v>
      </c>
      <c r="K793">
        <v>6.29</v>
      </c>
      <c r="L793">
        <v>1.2</v>
      </c>
      <c r="M793">
        <v>7</v>
      </c>
      <c r="N793">
        <v>782</v>
      </c>
      <c r="O793" s="3">
        <f t="shared" si="24"/>
        <v>41680600</v>
      </c>
      <c r="P793" s="3">
        <f t="shared" si="25"/>
        <v>41403133</v>
      </c>
    </row>
    <row r="794" spans="1:16">
      <c r="A794">
        <v>2017</v>
      </c>
      <c r="B794" t="s">
        <v>29</v>
      </c>
      <c r="C794" t="s">
        <v>38</v>
      </c>
      <c r="D794" t="s">
        <v>42</v>
      </c>
      <c r="E794" t="s">
        <v>19</v>
      </c>
      <c r="F794" t="s">
        <v>24</v>
      </c>
      <c r="G794" s="3">
        <v>99384</v>
      </c>
      <c r="H794" s="3">
        <v>196025</v>
      </c>
      <c r="I794">
        <v>162</v>
      </c>
      <c r="J794" s="3">
        <v>0.97</v>
      </c>
      <c r="K794">
        <v>6.29</v>
      </c>
      <c r="L794">
        <v>1.2</v>
      </c>
      <c r="M794">
        <v>10</v>
      </c>
      <c r="N794">
        <v>515</v>
      </c>
      <c r="O794" s="3">
        <f t="shared" si="24"/>
        <v>51182760</v>
      </c>
      <c r="P794" s="3">
        <f t="shared" si="25"/>
        <v>50986735</v>
      </c>
    </row>
    <row r="795" spans="1:16">
      <c r="A795">
        <v>2017</v>
      </c>
      <c r="B795" t="s">
        <v>53</v>
      </c>
      <c r="C795" t="s">
        <v>26</v>
      </c>
      <c r="D795" t="s">
        <v>22</v>
      </c>
      <c r="E795" t="s">
        <v>23</v>
      </c>
      <c r="F795" t="s">
        <v>20</v>
      </c>
      <c r="G795" s="3">
        <v>95892</v>
      </c>
      <c r="H795" s="3">
        <v>285652</v>
      </c>
      <c r="I795">
        <v>286</v>
      </c>
      <c r="J795" s="3">
        <v>0.97</v>
      </c>
      <c r="K795">
        <v>6.29</v>
      </c>
      <c r="L795">
        <v>1.2</v>
      </c>
      <c r="M795">
        <v>2</v>
      </c>
      <c r="N795">
        <v>804</v>
      </c>
      <c r="O795" s="3">
        <f t="shared" si="24"/>
        <v>77097168</v>
      </c>
      <c r="P795" s="3">
        <f t="shared" si="25"/>
        <v>76811516</v>
      </c>
    </row>
    <row r="796" spans="1:16">
      <c r="A796">
        <v>2023</v>
      </c>
      <c r="B796" t="s">
        <v>48</v>
      </c>
      <c r="C796" t="s">
        <v>51</v>
      </c>
      <c r="D796" t="s">
        <v>41</v>
      </c>
      <c r="E796" t="s">
        <v>23</v>
      </c>
      <c r="F796" t="s">
        <v>20</v>
      </c>
      <c r="G796" s="3">
        <v>70525</v>
      </c>
      <c r="H796" s="3">
        <v>481723</v>
      </c>
      <c r="I796">
        <v>288</v>
      </c>
      <c r="J796" s="3">
        <v>0.97</v>
      </c>
      <c r="K796">
        <v>6.29</v>
      </c>
      <c r="L796">
        <v>1.2</v>
      </c>
      <c r="M796">
        <v>10</v>
      </c>
      <c r="N796">
        <v>869</v>
      </c>
      <c r="O796" s="3">
        <f t="shared" si="24"/>
        <v>61286225</v>
      </c>
      <c r="P796" s="3">
        <f t="shared" si="25"/>
        <v>60804502</v>
      </c>
    </row>
    <row r="797" spans="1:16">
      <c r="A797">
        <v>2021</v>
      </c>
      <c r="B797" t="s">
        <v>25</v>
      </c>
      <c r="C797" t="s">
        <v>40</v>
      </c>
      <c r="D797" t="s">
        <v>42</v>
      </c>
      <c r="E797" t="s">
        <v>19</v>
      </c>
      <c r="F797" t="s">
        <v>24</v>
      </c>
      <c r="G797" s="3">
        <v>61532</v>
      </c>
      <c r="H797" s="3">
        <v>405113</v>
      </c>
      <c r="I797">
        <v>66</v>
      </c>
      <c r="J797" s="3">
        <v>0.97</v>
      </c>
      <c r="K797">
        <v>6.29</v>
      </c>
      <c r="L797">
        <v>1.2</v>
      </c>
      <c r="M797">
        <v>6</v>
      </c>
      <c r="N797">
        <v>201</v>
      </c>
      <c r="O797" s="3">
        <f t="shared" si="24"/>
        <v>12367932</v>
      </c>
      <c r="P797" s="3">
        <f t="shared" si="25"/>
        <v>11962819</v>
      </c>
    </row>
    <row r="798" spans="1:16">
      <c r="A798">
        <v>2019</v>
      </c>
      <c r="B798" t="s">
        <v>50</v>
      </c>
      <c r="C798" t="s">
        <v>34</v>
      </c>
      <c r="D798" t="s">
        <v>41</v>
      </c>
      <c r="E798" t="s">
        <v>23</v>
      </c>
      <c r="F798" t="s">
        <v>20</v>
      </c>
      <c r="G798" s="3">
        <v>41464</v>
      </c>
      <c r="H798" s="3">
        <v>141493</v>
      </c>
      <c r="I798">
        <v>195</v>
      </c>
      <c r="J798" s="3">
        <v>0.97</v>
      </c>
      <c r="K798">
        <v>6.29</v>
      </c>
      <c r="L798">
        <v>1.2</v>
      </c>
      <c r="M798">
        <v>6</v>
      </c>
      <c r="N798">
        <v>524</v>
      </c>
      <c r="O798" s="3">
        <f t="shared" si="24"/>
        <v>21727136</v>
      </c>
      <c r="P798" s="3">
        <f t="shared" si="25"/>
        <v>21585643</v>
      </c>
    </row>
    <row r="799" spans="1:16">
      <c r="A799">
        <v>2024</v>
      </c>
      <c r="B799" t="s">
        <v>25</v>
      </c>
      <c r="C799" t="s">
        <v>44</v>
      </c>
      <c r="D799" t="s">
        <v>52</v>
      </c>
      <c r="E799" t="s">
        <v>19</v>
      </c>
      <c r="F799" t="s">
        <v>33</v>
      </c>
      <c r="G799" s="3">
        <v>51562</v>
      </c>
      <c r="H799" s="3">
        <v>318667</v>
      </c>
      <c r="I799">
        <v>102</v>
      </c>
      <c r="J799" s="3">
        <v>0.97</v>
      </c>
      <c r="K799">
        <v>6.29</v>
      </c>
      <c r="L799">
        <v>1.2</v>
      </c>
      <c r="M799">
        <v>2</v>
      </c>
      <c r="N799">
        <v>476</v>
      </c>
      <c r="O799" s="3">
        <f t="shared" si="24"/>
        <v>24543512</v>
      </c>
      <c r="P799" s="3">
        <f t="shared" si="25"/>
        <v>24224845</v>
      </c>
    </row>
    <row r="800" spans="1:16">
      <c r="A800">
        <v>2021</v>
      </c>
      <c r="B800" t="s">
        <v>47</v>
      </c>
      <c r="C800" t="s">
        <v>34</v>
      </c>
      <c r="D800" t="s">
        <v>41</v>
      </c>
      <c r="E800" t="s">
        <v>23</v>
      </c>
      <c r="F800" t="s">
        <v>33</v>
      </c>
      <c r="G800" s="3">
        <v>90514</v>
      </c>
      <c r="H800" s="3">
        <v>267995</v>
      </c>
      <c r="I800">
        <v>285</v>
      </c>
      <c r="J800" s="3">
        <v>0.97</v>
      </c>
      <c r="K800">
        <v>6.29</v>
      </c>
      <c r="L800">
        <v>1.2</v>
      </c>
      <c r="M800">
        <v>2</v>
      </c>
      <c r="N800">
        <v>884</v>
      </c>
      <c r="O800" s="3">
        <f t="shared" si="24"/>
        <v>80014376</v>
      </c>
      <c r="P800" s="3">
        <f t="shared" si="25"/>
        <v>79746381</v>
      </c>
    </row>
    <row r="801" spans="1:16">
      <c r="A801">
        <v>2023</v>
      </c>
      <c r="B801" t="s">
        <v>49</v>
      </c>
      <c r="C801" t="s">
        <v>34</v>
      </c>
      <c r="D801" t="s">
        <v>41</v>
      </c>
      <c r="E801" t="s">
        <v>23</v>
      </c>
      <c r="F801" t="s">
        <v>28</v>
      </c>
      <c r="G801" s="3">
        <v>109219</v>
      </c>
      <c r="H801" s="3">
        <v>238262</v>
      </c>
      <c r="I801">
        <v>167</v>
      </c>
      <c r="J801" s="3">
        <v>0.97</v>
      </c>
      <c r="K801">
        <v>6.29</v>
      </c>
      <c r="L801">
        <v>1.2</v>
      </c>
      <c r="M801">
        <v>2</v>
      </c>
      <c r="N801">
        <v>430</v>
      </c>
      <c r="O801" s="3">
        <f t="shared" si="24"/>
        <v>46964170</v>
      </c>
      <c r="P801" s="3">
        <f t="shared" si="25"/>
        <v>46725908</v>
      </c>
    </row>
    <row r="802" spans="1:16">
      <c r="A802">
        <v>2015</v>
      </c>
      <c r="B802" t="s">
        <v>43</v>
      </c>
      <c r="C802" t="s">
        <v>46</v>
      </c>
      <c r="D802" t="s">
        <v>36</v>
      </c>
      <c r="E802" t="s">
        <v>19</v>
      </c>
      <c r="F802" t="s">
        <v>20</v>
      </c>
      <c r="G802" s="3">
        <v>67634</v>
      </c>
      <c r="H802" s="3">
        <v>490977</v>
      </c>
      <c r="I802">
        <v>284</v>
      </c>
      <c r="J802" s="3">
        <v>0.97</v>
      </c>
      <c r="K802">
        <v>6.29</v>
      </c>
      <c r="L802">
        <v>1.2</v>
      </c>
      <c r="M802">
        <v>10</v>
      </c>
      <c r="N802">
        <v>849</v>
      </c>
      <c r="O802" s="3">
        <f t="shared" si="24"/>
        <v>57421266</v>
      </c>
      <c r="P802" s="3">
        <f t="shared" si="25"/>
        <v>56930289</v>
      </c>
    </row>
    <row r="803" spans="1:16">
      <c r="A803">
        <v>2021</v>
      </c>
      <c r="B803" t="s">
        <v>49</v>
      </c>
      <c r="C803" t="s">
        <v>17</v>
      </c>
      <c r="D803" t="s">
        <v>36</v>
      </c>
      <c r="E803" t="s">
        <v>19</v>
      </c>
      <c r="F803" t="s">
        <v>33</v>
      </c>
      <c r="G803" s="3">
        <v>35060</v>
      </c>
      <c r="H803" s="3">
        <v>343313</v>
      </c>
      <c r="I803">
        <v>190</v>
      </c>
      <c r="J803" s="3">
        <v>0.97</v>
      </c>
      <c r="K803">
        <v>6.29</v>
      </c>
      <c r="L803">
        <v>1.2</v>
      </c>
      <c r="M803">
        <v>1</v>
      </c>
      <c r="N803">
        <v>469</v>
      </c>
      <c r="O803" s="3">
        <f t="shared" si="24"/>
        <v>16443140</v>
      </c>
      <c r="P803" s="3">
        <f t="shared" si="25"/>
        <v>16099827</v>
      </c>
    </row>
    <row r="804" spans="1:16">
      <c r="A804">
        <v>2020</v>
      </c>
      <c r="B804" t="s">
        <v>50</v>
      </c>
      <c r="C804" t="s">
        <v>17</v>
      </c>
      <c r="D804" t="s">
        <v>36</v>
      </c>
      <c r="E804" t="s">
        <v>19</v>
      </c>
      <c r="F804" t="s">
        <v>24</v>
      </c>
      <c r="G804" s="3">
        <v>44269</v>
      </c>
      <c r="H804" s="3">
        <v>95641</v>
      </c>
      <c r="I804">
        <v>368</v>
      </c>
      <c r="J804" s="3">
        <v>0.97</v>
      </c>
      <c r="K804">
        <v>6.29</v>
      </c>
      <c r="L804">
        <v>1.2</v>
      </c>
      <c r="M804">
        <v>5</v>
      </c>
      <c r="N804">
        <v>994</v>
      </c>
      <c r="O804" s="3">
        <f t="shared" si="24"/>
        <v>44003386</v>
      </c>
      <c r="P804" s="3">
        <f t="shared" si="25"/>
        <v>43907745</v>
      </c>
    </row>
    <row r="805" spans="1:16">
      <c r="A805">
        <v>2024</v>
      </c>
      <c r="B805" t="s">
        <v>35</v>
      </c>
      <c r="C805" t="s">
        <v>40</v>
      </c>
      <c r="D805" t="s">
        <v>52</v>
      </c>
      <c r="E805" t="s">
        <v>19</v>
      </c>
      <c r="F805" t="s">
        <v>20</v>
      </c>
      <c r="G805" s="3">
        <v>98143</v>
      </c>
      <c r="H805" s="3">
        <v>204062</v>
      </c>
      <c r="I805">
        <v>86</v>
      </c>
      <c r="J805" s="3">
        <v>0.97</v>
      </c>
      <c r="K805">
        <v>6.29</v>
      </c>
      <c r="L805">
        <v>1.2</v>
      </c>
      <c r="M805">
        <v>8</v>
      </c>
      <c r="N805">
        <v>468</v>
      </c>
      <c r="O805" s="3">
        <f t="shared" si="24"/>
        <v>45930924</v>
      </c>
      <c r="P805" s="3">
        <f t="shared" si="25"/>
        <v>45726862</v>
      </c>
    </row>
    <row r="806" spans="1:16">
      <c r="A806">
        <v>2023</v>
      </c>
      <c r="B806" t="s">
        <v>21</v>
      </c>
      <c r="C806" t="s">
        <v>46</v>
      </c>
      <c r="D806" t="s">
        <v>22</v>
      </c>
      <c r="E806" t="s">
        <v>23</v>
      </c>
      <c r="F806" t="s">
        <v>33</v>
      </c>
      <c r="G806" s="3">
        <v>58065</v>
      </c>
      <c r="H806" s="3">
        <v>79661</v>
      </c>
      <c r="I806">
        <v>160</v>
      </c>
      <c r="J806" s="3">
        <v>0.97</v>
      </c>
      <c r="K806">
        <v>6.29</v>
      </c>
      <c r="L806">
        <v>1.2</v>
      </c>
      <c r="M806">
        <v>2</v>
      </c>
      <c r="N806">
        <v>786</v>
      </c>
      <c r="O806" s="3">
        <f t="shared" si="24"/>
        <v>45639090</v>
      </c>
      <c r="P806" s="3">
        <f t="shared" si="25"/>
        <v>45559429</v>
      </c>
    </row>
    <row r="807" spans="1:16">
      <c r="A807">
        <v>2015</v>
      </c>
      <c r="B807" t="s">
        <v>50</v>
      </c>
      <c r="C807" t="s">
        <v>34</v>
      </c>
      <c r="D807" t="s">
        <v>42</v>
      </c>
      <c r="E807" t="s">
        <v>19</v>
      </c>
      <c r="F807" t="s">
        <v>20</v>
      </c>
      <c r="G807" s="3">
        <v>37895</v>
      </c>
      <c r="H807" s="3">
        <v>194491</v>
      </c>
      <c r="I807">
        <v>247</v>
      </c>
      <c r="J807" s="3">
        <v>0.97</v>
      </c>
      <c r="K807">
        <v>6.29</v>
      </c>
      <c r="L807">
        <v>1.2</v>
      </c>
      <c r="M807">
        <v>5</v>
      </c>
      <c r="N807">
        <v>762</v>
      </c>
      <c r="O807" s="3">
        <f t="shared" si="24"/>
        <v>28875990</v>
      </c>
      <c r="P807" s="3">
        <f t="shared" si="25"/>
        <v>28681499</v>
      </c>
    </row>
    <row r="808" spans="1:16">
      <c r="A808">
        <v>2018</v>
      </c>
      <c r="B808" t="s">
        <v>37</v>
      </c>
      <c r="C808" t="s">
        <v>31</v>
      </c>
      <c r="D808" t="s">
        <v>42</v>
      </c>
      <c r="E808" t="s">
        <v>19</v>
      </c>
      <c r="F808" t="s">
        <v>24</v>
      </c>
      <c r="G808" s="3">
        <v>115859</v>
      </c>
      <c r="H808" s="3">
        <v>326601</v>
      </c>
      <c r="I808">
        <v>298</v>
      </c>
      <c r="J808" s="3">
        <v>0.97</v>
      </c>
      <c r="K808">
        <v>6.29</v>
      </c>
      <c r="L808">
        <v>1.2</v>
      </c>
      <c r="M808">
        <v>8</v>
      </c>
      <c r="N808">
        <v>640</v>
      </c>
      <c r="O808" s="3">
        <f t="shared" si="24"/>
        <v>74149760</v>
      </c>
      <c r="P808" s="3">
        <f t="shared" si="25"/>
        <v>73823159</v>
      </c>
    </row>
    <row r="809" spans="1:16">
      <c r="A809">
        <v>2023</v>
      </c>
      <c r="B809" t="s">
        <v>50</v>
      </c>
      <c r="C809" t="s">
        <v>17</v>
      </c>
      <c r="D809" t="s">
        <v>18</v>
      </c>
      <c r="E809" t="s">
        <v>19</v>
      </c>
      <c r="F809" t="s">
        <v>33</v>
      </c>
      <c r="G809" s="3">
        <v>47352</v>
      </c>
      <c r="H809" s="3">
        <v>379744</v>
      </c>
      <c r="I809">
        <v>240</v>
      </c>
      <c r="J809" s="3">
        <v>0.97</v>
      </c>
      <c r="K809">
        <v>6.29</v>
      </c>
      <c r="L809">
        <v>1.2</v>
      </c>
      <c r="M809">
        <v>10</v>
      </c>
      <c r="N809">
        <v>640</v>
      </c>
      <c r="O809" s="3">
        <f t="shared" si="24"/>
        <v>30305280</v>
      </c>
      <c r="P809" s="3">
        <f t="shared" si="25"/>
        <v>29925536</v>
      </c>
    </row>
    <row r="810" spans="1:16">
      <c r="A810">
        <v>2018</v>
      </c>
      <c r="B810" t="s">
        <v>49</v>
      </c>
      <c r="C810" t="s">
        <v>44</v>
      </c>
      <c r="D810" t="s">
        <v>36</v>
      </c>
      <c r="E810" t="s">
        <v>19</v>
      </c>
      <c r="F810" t="s">
        <v>28</v>
      </c>
      <c r="G810" s="3">
        <v>84737</v>
      </c>
      <c r="H810" s="3">
        <v>153619</v>
      </c>
      <c r="I810">
        <v>27</v>
      </c>
      <c r="J810" s="3">
        <v>0.97</v>
      </c>
      <c r="K810">
        <v>6.29</v>
      </c>
      <c r="L810">
        <v>1.2</v>
      </c>
      <c r="M810">
        <v>5</v>
      </c>
      <c r="N810">
        <v>224</v>
      </c>
      <c r="O810" s="3">
        <f t="shared" si="24"/>
        <v>18981088</v>
      </c>
      <c r="P810" s="3">
        <f t="shared" si="25"/>
        <v>18827469</v>
      </c>
    </row>
    <row r="811" spans="1:16">
      <c r="A811">
        <v>2024</v>
      </c>
      <c r="B811" t="s">
        <v>25</v>
      </c>
      <c r="C811" t="s">
        <v>44</v>
      </c>
      <c r="D811" t="s">
        <v>52</v>
      </c>
      <c r="E811" t="s">
        <v>19</v>
      </c>
      <c r="F811" t="s">
        <v>28</v>
      </c>
      <c r="G811" s="3">
        <v>67016</v>
      </c>
      <c r="H811" s="3">
        <v>388246</v>
      </c>
      <c r="I811">
        <v>82</v>
      </c>
      <c r="J811" s="3">
        <v>0.97</v>
      </c>
      <c r="K811">
        <v>6.29</v>
      </c>
      <c r="L811">
        <v>1.2</v>
      </c>
      <c r="M811">
        <v>2</v>
      </c>
      <c r="N811">
        <v>641</v>
      </c>
      <c r="O811" s="3">
        <f t="shared" si="24"/>
        <v>42957256</v>
      </c>
      <c r="P811" s="3">
        <f t="shared" si="25"/>
        <v>42569010</v>
      </c>
    </row>
    <row r="812" spans="1:16">
      <c r="A812">
        <v>2017</v>
      </c>
      <c r="B812" t="s">
        <v>53</v>
      </c>
      <c r="C812" t="s">
        <v>26</v>
      </c>
      <c r="D812" t="s">
        <v>18</v>
      </c>
      <c r="E812" t="s">
        <v>19</v>
      </c>
      <c r="F812" t="s">
        <v>20</v>
      </c>
      <c r="G812" s="3">
        <v>96304</v>
      </c>
      <c r="H812" s="3">
        <v>83085</v>
      </c>
      <c r="I812">
        <v>198</v>
      </c>
      <c r="J812" s="3">
        <v>0.97</v>
      </c>
      <c r="K812">
        <v>6.29</v>
      </c>
      <c r="L812">
        <v>1.2</v>
      </c>
      <c r="M812">
        <v>3</v>
      </c>
      <c r="N812">
        <v>668</v>
      </c>
      <c r="O812" s="3">
        <f t="shared" si="24"/>
        <v>64331072</v>
      </c>
      <c r="P812" s="3">
        <f t="shared" si="25"/>
        <v>64247987</v>
      </c>
    </row>
    <row r="813" spans="1:16">
      <c r="A813">
        <v>2023</v>
      </c>
      <c r="B813" t="s">
        <v>48</v>
      </c>
      <c r="C813" t="s">
        <v>45</v>
      </c>
      <c r="D813" t="s">
        <v>27</v>
      </c>
      <c r="E813" t="s">
        <v>23</v>
      </c>
      <c r="F813" t="s">
        <v>24</v>
      </c>
      <c r="G813" s="3">
        <v>46962</v>
      </c>
      <c r="H813" s="3">
        <v>147064</v>
      </c>
      <c r="I813">
        <v>26</v>
      </c>
      <c r="J813" s="3">
        <v>0.97</v>
      </c>
      <c r="K813">
        <v>6.29</v>
      </c>
      <c r="L813">
        <v>1.2</v>
      </c>
      <c r="M813">
        <v>6</v>
      </c>
      <c r="N813">
        <v>396</v>
      </c>
      <c r="O813" s="3">
        <f t="shared" si="24"/>
        <v>18596952</v>
      </c>
      <c r="P813" s="3">
        <f t="shared" si="25"/>
        <v>18449888</v>
      </c>
    </row>
    <row r="814" spans="1:16">
      <c r="A814">
        <v>2016</v>
      </c>
      <c r="B814" t="s">
        <v>53</v>
      </c>
      <c r="C814" t="s">
        <v>31</v>
      </c>
      <c r="D814" t="s">
        <v>18</v>
      </c>
      <c r="E814" t="s">
        <v>19</v>
      </c>
      <c r="F814" t="s">
        <v>33</v>
      </c>
      <c r="G814" s="3">
        <v>68302</v>
      </c>
      <c r="H814" s="3">
        <v>231726</v>
      </c>
      <c r="I814">
        <v>28</v>
      </c>
      <c r="J814" s="3">
        <v>0.97</v>
      </c>
      <c r="K814">
        <v>6.29</v>
      </c>
      <c r="L814">
        <v>1.2</v>
      </c>
      <c r="M814">
        <v>5</v>
      </c>
      <c r="N814">
        <v>438</v>
      </c>
      <c r="O814" s="3">
        <f t="shared" si="24"/>
        <v>29916276</v>
      </c>
      <c r="P814" s="3">
        <f t="shared" si="25"/>
        <v>29684550</v>
      </c>
    </row>
    <row r="815" spans="1:16">
      <c r="A815">
        <v>2018</v>
      </c>
      <c r="B815" t="s">
        <v>49</v>
      </c>
      <c r="C815" t="s">
        <v>17</v>
      </c>
      <c r="D815" t="s">
        <v>22</v>
      </c>
      <c r="E815" t="s">
        <v>23</v>
      </c>
      <c r="F815" t="s">
        <v>24</v>
      </c>
      <c r="G815" s="3">
        <v>39011</v>
      </c>
      <c r="H815" s="3">
        <v>449346</v>
      </c>
      <c r="I815">
        <v>228</v>
      </c>
      <c r="J815" s="3">
        <v>0.97</v>
      </c>
      <c r="K815">
        <v>6.29</v>
      </c>
      <c r="L815">
        <v>1.2</v>
      </c>
      <c r="M815">
        <v>4</v>
      </c>
      <c r="N815">
        <v>951</v>
      </c>
      <c r="O815" s="3">
        <f t="shared" si="24"/>
        <v>37099461</v>
      </c>
      <c r="P815" s="3">
        <f t="shared" si="25"/>
        <v>36650115</v>
      </c>
    </row>
    <row r="816" spans="1:16">
      <c r="A816">
        <v>2020</v>
      </c>
      <c r="B816" t="s">
        <v>48</v>
      </c>
      <c r="C816" t="s">
        <v>38</v>
      </c>
      <c r="D816" t="s">
        <v>30</v>
      </c>
      <c r="E816" t="s">
        <v>23</v>
      </c>
      <c r="F816" t="s">
        <v>33</v>
      </c>
      <c r="G816" s="3">
        <v>54782</v>
      </c>
      <c r="H816" s="3">
        <v>155723</v>
      </c>
      <c r="I816">
        <v>335</v>
      </c>
      <c r="J816" s="3">
        <v>0.97</v>
      </c>
      <c r="K816">
        <v>6.29</v>
      </c>
      <c r="L816">
        <v>1.2</v>
      </c>
      <c r="M816">
        <v>4</v>
      </c>
      <c r="N816">
        <v>1066</v>
      </c>
      <c r="O816" s="3">
        <f t="shared" si="24"/>
        <v>58397612</v>
      </c>
      <c r="P816" s="3">
        <f t="shared" si="25"/>
        <v>58241889</v>
      </c>
    </row>
    <row r="817" spans="1:16">
      <c r="A817">
        <v>2016</v>
      </c>
      <c r="B817" t="s">
        <v>37</v>
      </c>
      <c r="C817" t="s">
        <v>17</v>
      </c>
      <c r="D817" t="s">
        <v>41</v>
      </c>
      <c r="E817" t="s">
        <v>23</v>
      </c>
      <c r="F817" t="s">
        <v>20</v>
      </c>
      <c r="G817" s="3">
        <v>102691</v>
      </c>
      <c r="H817" s="3">
        <v>183114</v>
      </c>
      <c r="I817">
        <v>129</v>
      </c>
      <c r="J817" s="3">
        <v>0.97</v>
      </c>
      <c r="K817">
        <v>6.29</v>
      </c>
      <c r="L817">
        <v>1.2</v>
      </c>
      <c r="M817">
        <v>5</v>
      </c>
      <c r="N817">
        <v>390</v>
      </c>
      <c r="O817" s="3">
        <f t="shared" si="24"/>
        <v>40049490</v>
      </c>
      <c r="P817" s="3">
        <f t="shared" si="25"/>
        <v>39866376</v>
      </c>
    </row>
    <row r="818" spans="1:16">
      <c r="A818">
        <v>2022</v>
      </c>
      <c r="B818" t="s">
        <v>21</v>
      </c>
      <c r="C818" t="s">
        <v>26</v>
      </c>
      <c r="D818" t="s">
        <v>36</v>
      </c>
      <c r="E818" t="s">
        <v>19</v>
      </c>
      <c r="F818" t="s">
        <v>33</v>
      </c>
      <c r="G818" s="3">
        <v>74725</v>
      </c>
      <c r="H818" s="3">
        <v>382278</v>
      </c>
      <c r="I818">
        <v>110</v>
      </c>
      <c r="J818" s="3">
        <v>0.97</v>
      </c>
      <c r="K818">
        <v>6.29</v>
      </c>
      <c r="L818">
        <v>1.2</v>
      </c>
      <c r="M818">
        <v>2</v>
      </c>
      <c r="N818">
        <v>303</v>
      </c>
      <c r="O818" s="3">
        <f t="shared" si="24"/>
        <v>22641675</v>
      </c>
      <c r="P818" s="3">
        <f t="shared" si="25"/>
        <v>22259397</v>
      </c>
    </row>
    <row r="819" spans="1:16">
      <c r="A819">
        <v>2022</v>
      </c>
      <c r="B819" t="s">
        <v>47</v>
      </c>
      <c r="C819" t="s">
        <v>44</v>
      </c>
      <c r="D819" t="s">
        <v>30</v>
      </c>
      <c r="E819" t="s">
        <v>23</v>
      </c>
      <c r="F819" t="s">
        <v>24</v>
      </c>
      <c r="G819" s="3">
        <v>44196</v>
      </c>
      <c r="H819" s="3">
        <v>355126</v>
      </c>
      <c r="I819">
        <v>43</v>
      </c>
      <c r="J819" s="3">
        <v>0.97</v>
      </c>
      <c r="K819">
        <v>6.29</v>
      </c>
      <c r="L819">
        <v>1.2</v>
      </c>
      <c r="M819">
        <v>9</v>
      </c>
      <c r="N819">
        <v>247</v>
      </c>
      <c r="O819" s="3">
        <f t="shared" si="24"/>
        <v>10916412</v>
      </c>
      <c r="P819" s="3">
        <f t="shared" si="25"/>
        <v>10561286</v>
      </c>
    </row>
    <row r="820" spans="1:16">
      <c r="A820">
        <v>2015</v>
      </c>
      <c r="B820" t="s">
        <v>29</v>
      </c>
      <c r="C820" t="s">
        <v>34</v>
      </c>
      <c r="D820" t="s">
        <v>18</v>
      </c>
      <c r="E820" t="s">
        <v>19</v>
      </c>
      <c r="F820" t="s">
        <v>24</v>
      </c>
      <c r="G820" s="3">
        <v>78459</v>
      </c>
      <c r="H820" s="3">
        <v>377329</v>
      </c>
      <c r="I820">
        <v>93</v>
      </c>
      <c r="J820" s="3">
        <v>0.97</v>
      </c>
      <c r="K820">
        <v>6.29</v>
      </c>
      <c r="L820">
        <v>1.2</v>
      </c>
      <c r="M820">
        <v>2</v>
      </c>
      <c r="N820">
        <v>576</v>
      </c>
      <c r="O820" s="3">
        <f t="shared" si="24"/>
        <v>45192384</v>
      </c>
      <c r="P820" s="3">
        <f t="shared" si="25"/>
        <v>44815055</v>
      </c>
    </row>
    <row r="821" spans="1:16">
      <c r="A821">
        <v>2017</v>
      </c>
      <c r="B821" t="s">
        <v>49</v>
      </c>
      <c r="C821" t="s">
        <v>38</v>
      </c>
      <c r="D821" t="s">
        <v>52</v>
      </c>
      <c r="E821" t="s">
        <v>19</v>
      </c>
      <c r="F821" t="s">
        <v>20</v>
      </c>
      <c r="G821" s="3">
        <v>113863</v>
      </c>
      <c r="H821" s="3">
        <v>83477</v>
      </c>
      <c r="I821">
        <v>205</v>
      </c>
      <c r="J821" s="3">
        <v>0.97</v>
      </c>
      <c r="K821">
        <v>6.29</v>
      </c>
      <c r="L821">
        <v>1.2</v>
      </c>
      <c r="M821">
        <v>10</v>
      </c>
      <c r="N821">
        <v>693</v>
      </c>
      <c r="O821" s="3">
        <f t="shared" si="24"/>
        <v>78907059</v>
      </c>
      <c r="P821" s="3">
        <f t="shared" si="25"/>
        <v>78823582</v>
      </c>
    </row>
    <row r="822" spans="1:16">
      <c r="A822">
        <v>2024</v>
      </c>
      <c r="B822" t="s">
        <v>25</v>
      </c>
      <c r="C822" t="s">
        <v>46</v>
      </c>
      <c r="D822" t="s">
        <v>41</v>
      </c>
      <c r="E822" t="s">
        <v>23</v>
      </c>
      <c r="F822" t="s">
        <v>24</v>
      </c>
      <c r="G822" s="3">
        <v>67769</v>
      </c>
      <c r="H822" s="3">
        <v>164161</v>
      </c>
      <c r="I822">
        <v>339</v>
      </c>
      <c r="J822" s="3">
        <v>0.97</v>
      </c>
      <c r="K822">
        <v>6.29</v>
      </c>
      <c r="L822">
        <v>1.2</v>
      </c>
      <c r="M822">
        <v>2</v>
      </c>
      <c r="N822">
        <v>1095</v>
      </c>
      <c r="O822" s="3">
        <f t="shared" si="24"/>
        <v>74207055</v>
      </c>
      <c r="P822" s="3">
        <f t="shared" si="25"/>
        <v>74042894</v>
      </c>
    </row>
    <row r="823" spans="1:16">
      <c r="A823">
        <v>2023</v>
      </c>
      <c r="B823" t="s">
        <v>43</v>
      </c>
      <c r="C823" t="s">
        <v>51</v>
      </c>
      <c r="D823" t="s">
        <v>42</v>
      </c>
      <c r="E823" t="s">
        <v>19</v>
      </c>
      <c r="F823" t="s">
        <v>33</v>
      </c>
      <c r="G823" s="3">
        <v>59700</v>
      </c>
      <c r="H823" s="3">
        <v>364853</v>
      </c>
      <c r="I823">
        <v>211</v>
      </c>
      <c r="J823" s="3">
        <v>0.97</v>
      </c>
      <c r="K823">
        <v>6.29</v>
      </c>
      <c r="L823">
        <v>1.2</v>
      </c>
      <c r="M823">
        <v>10</v>
      </c>
      <c r="N823">
        <v>482</v>
      </c>
      <c r="O823" s="3">
        <f t="shared" si="24"/>
        <v>28775400</v>
      </c>
      <c r="P823" s="3">
        <f t="shared" si="25"/>
        <v>28410547</v>
      </c>
    </row>
    <row r="824" spans="1:16">
      <c r="A824">
        <v>2019</v>
      </c>
      <c r="B824" t="s">
        <v>49</v>
      </c>
      <c r="C824" t="s">
        <v>34</v>
      </c>
      <c r="D824" t="s">
        <v>39</v>
      </c>
      <c r="E824" t="s">
        <v>23</v>
      </c>
      <c r="F824" t="s">
        <v>20</v>
      </c>
      <c r="G824" s="3">
        <v>115356</v>
      </c>
      <c r="H824" s="3">
        <v>209788</v>
      </c>
      <c r="I824">
        <v>353</v>
      </c>
      <c r="J824" s="3">
        <v>0.97</v>
      </c>
      <c r="K824">
        <v>6.29</v>
      </c>
      <c r="L824">
        <v>1.2</v>
      </c>
      <c r="M824">
        <v>9</v>
      </c>
      <c r="N824">
        <v>980</v>
      </c>
      <c r="O824" s="3">
        <f t="shared" si="24"/>
        <v>113048880</v>
      </c>
      <c r="P824" s="3">
        <f t="shared" si="25"/>
        <v>112839092</v>
      </c>
    </row>
    <row r="825" spans="1:16">
      <c r="A825">
        <v>2020</v>
      </c>
      <c r="B825" t="s">
        <v>49</v>
      </c>
      <c r="C825" t="s">
        <v>51</v>
      </c>
      <c r="D825" t="s">
        <v>41</v>
      </c>
      <c r="E825" t="s">
        <v>23</v>
      </c>
      <c r="F825" t="s">
        <v>33</v>
      </c>
      <c r="G825" s="3">
        <v>111427</v>
      </c>
      <c r="H825" s="3">
        <v>390281</v>
      </c>
      <c r="I825">
        <v>350</v>
      </c>
      <c r="J825" s="3">
        <v>0.97</v>
      </c>
      <c r="K825">
        <v>6.29</v>
      </c>
      <c r="L825">
        <v>1.2</v>
      </c>
      <c r="M825">
        <v>3</v>
      </c>
      <c r="N825">
        <v>1075</v>
      </c>
      <c r="O825" s="3">
        <f t="shared" si="24"/>
        <v>119784025</v>
      </c>
      <c r="P825" s="3">
        <f t="shared" si="25"/>
        <v>119393744</v>
      </c>
    </row>
    <row r="826" spans="1:16">
      <c r="A826">
        <v>2018</v>
      </c>
      <c r="B826" t="s">
        <v>48</v>
      </c>
      <c r="C826" t="s">
        <v>31</v>
      </c>
      <c r="D826" t="s">
        <v>22</v>
      </c>
      <c r="E826" t="s">
        <v>23</v>
      </c>
      <c r="F826" t="s">
        <v>24</v>
      </c>
      <c r="G826" s="3">
        <v>40269</v>
      </c>
      <c r="H826" s="3">
        <v>348162</v>
      </c>
      <c r="I826">
        <v>20</v>
      </c>
      <c r="J826" s="3">
        <v>0.97</v>
      </c>
      <c r="K826">
        <v>6.29</v>
      </c>
      <c r="L826">
        <v>1.2</v>
      </c>
      <c r="M826">
        <v>10</v>
      </c>
      <c r="N826">
        <v>476</v>
      </c>
      <c r="O826" s="3">
        <f t="shared" si="24"/>
        <v>19168044</v>
      </c>
      <c r="P826" s="3">
        <f t="shared" si="25"/>
        <v>18819882</v>
      </c>
    </row>
    <row r="827" spans="1:16">
      <c r="A827">
        <v>2024</v>
      </c>
      <c r="B827" t="s">
        <v>16</v>
      </c>
      <c r="C827" t="s">
        <v>45</v>
      </c>
      <c r="D827" t="s">
        <v>22</v>
      </c>
      <c r="E827" t="s">
        <v>23</v>
      </c>
      <c r="F827" t="s">
        <v>20</v>
      </c>
      <c r="G827" s="3">
        <v>78880</v>
      </c>
      <c r="H827" s="3">
        <v>189133</v>
      </c>
      <c r="I827">
        <v>356</v>
      </c>
      <c r="J827" s="3">
        <v>0.97</v>
      </c>
      <c r="K827">
        <v>6.29</v>
      </c>
      <c r="L827">
        <v>1.2</v>
      </c>
      <c r="M827">
        <v>7</v>
      </c>
      <c r="N827">
        <v>1122</v>
      </c>
      <c r="O827" s="3">
        <f t="shared" si="24"/>
        <v>88503360</v>
      </c>
      <c r="P827" s="3">
        <f t="shared" si="25"/>
        <v>88314227</v>
      </c>
    </row>
    <row r="828" spans="1:16">
      <c r="A828">
        <v>2016</v>
      </c>
      <c r="B828" t="s">
        <v>50</v>
      </c>
      <c r="C828" t="s">
        <v>38</v>
      </c>
      <c r="D828" t="s">
        <v>18</v>
      </c>
      <c r="E828" t="s">
        <v>19</v>
      </c>
      <c r="F828" t="s">
        <v>33</v>
      </c>
      <c r="G828" s="3">
        <v>43320</v>
      </c>
      <c r="H828" s="3">
        <v>189681</v>
      </c>
      <c r="I828">
        <v>227</v>
      </c>
      <c r="J828" s="3">
        <v>0.97</v>
      </c>
      <c r="K828">
        <v>6.29</v>
      </c>
      <c r="L828">
        <v>1.2</v>
      </c>
      <c r="M828">
        <v>4</v>
      </c>
      <c r="N828">
        <v>641</v>
      </c>
      <c r="O828" s="3">
        <f t="shared" si="24"/>
        <v>27768120</v>
      </c>
      <c r="P828" s="3">
        <f t="shared" si="25"/>
        <v>27578439</v>
      </c>
    </row>
    <row r="829" spans="1:16">
      <c r="A829">
        <v>2022</v>
      </c>
      <c r="B829" t="s">
        <v>25</v>
      </c>
      <c r="C829" t="s">
        <v>40</v>
      </c>
      <c r="D829" t="s">
        <v>27</v>
      </c>
      <c r="E829" t="s">
        <v>23</v>
      </c>
      <c r="F829" t="s">
        <v>24</v>
      </c>
      <c r="G829" s="3">
        <v>84589</v>
      </c>
      <c r="H829" s="3">
        <v>347515</v>
      </c>
      <c r="I829">
        <v>262</v>
      </c>
      <c r="J829" s="3">
        <v>0.97</v>
      </c>
      <c r="K829">
        <v>6.29</v>
      </c>
      <c r="L829">
        <v>1.2</v>
      </c>
      <c r="M829">
        <v>6</v>
      </c>
      <c r="N829">
        <v>820</v>
      </c>
      <c r="O829" s="3">
        <f t="shared" si="24"/>
        <v>69362980</v>
      </c>
      <c r="P829" s="3">
        <f t="shared" si="25"/>
        <v>69015465</v>
      </c>
    </row>
    <row r="830" spans="1:16">
      <c r="A830">
        <v>2020</v>
      </c>
      <c r="B830" t="s">
        <v>16</v>
      </c>
      <c r="C830" t="s">
        <v>38</v>
      </c>
      <c r="D830" t="s">
        <v>22</v>
      </c>
      <c r="E830" t="s">
        <v>23</v>
      </c>
      <c r="F830" t="s">
        <v>24</v>
      </c>
      <c r="G830" s="3">
        <v>111276</v>
      </c>
      <c r="H830" s="3">
        <v>291422</v>
      </c>
      <c r="I830">
        <v>231</v>
      </c>
      <c r="J830" s="3">
        <v>0.97</v>
      </c>
      <c r="K830">
        <v>6.29</v>
      </c>
      <c r="L830">
        <v>1.2</v>
      </c>
      <c r="M830">
        <v>4</v>
      </c>
      <c r="N830">
        <v>789</v>
      </c>
      <c r="O830" s="3">
        <f t="shared" si="24"/>
        <v>87796764</v>
      </c>
      <c r="P830" s="3">
        <f t="shared" si="25"/>
        <v>87505342</v>
      </c>
    </row>
    <row r="831" spans="1:16">
      <c r="A831">
        <v>2019</v>
      </c>
      <c r="B831" t="s">
        <v>37</v>
      </c>
      <c r="C831" t="s">
        <v>17</v>
      </c>
      <c r="D831" t="s">
        <v>22</v>
      </c>
      <c r="E831" t="s">
        <v>23</v>
      </c>
      <c r="F831" t="s">
        <v>28</v>
      </c>
      <c r="G831" s="3">
        <v>70897</v>
      </c>
      <c r="H831" s="3">
        <v>395165</v>
      </c>
      <c r="I831">
        <v>392</v>
      </c>
      <c r="J831" s="3">
        <v>0.97</v>
      </c>
      <c r="K831">
        <v>6.29</v>
      </c>
      <c r="L831">
        <v>1.2</v>
      </c>
      <c r="M831">
        <v>10</v>
      </c>
      <c r="N831">
        <v>985</v>
      </c>
      <c r="O831" s="3">
        <f t="shared" si="24"/>
        <v>69833545</v>
      </c>
      <c r="P831" s="3">
        <f t="shared" si="25"/>
        <v>69438380</v>
      </c>
    </row>
    <row r="832" spans="1:16">
      <c r="A832">
        <v>2023</v>
      </c>
      <c r="B832" t="s">
        <v>43</v>
      </c>
      <c r="C832" t="s">
        <v>44</v>
      </c>
      <c r="D832" t="s">
        <v>52</v>
      </c>
      <c r="E832" t="s">
        <v>19</v>
      </c>
      <c r="F832" t="s">
        <v>24</v>
      </c>
      <c r="G832" s="3">
        <v>93565</v>
      </c>
      <c r="H832" s="3">
        <v>464021</v>
      </c>
      <c r="I832">
        <v>378</v>
      </c>
      <c r="J832" s="3">
        <v>0.97</v>
      </c>
      <c r="K832">
        <v>6.29</v>
      </c>
      <c r="L832">
        <v>1.2</v>
      </c>
      <c r="M832">
        <v>7</v>
      </c>
      <c r="N832">
        <v>928</v>
      </c>
      <c r="O832" s="3">
        <f t="shared" si="24"/>
        <v>86828320</v>
      </c>
      <c r="P832" s="3">
        <f t="shared" si="25"/>
        <v>86364299</v>
      </c>
    </row>
    <row r="833" spans="1:16">
      <c r="A833">
        <v>2015</v>
      </c>
      <c r="B833" t="s">
        <v>21</v>
      </c>
      <c r="C833" t="s">
        <v>17</v>
      </c>
      <c r="D833" t="s">
        <v>18</v>
      </c>
      <c r="E833" t="s">
        <v>19</v>
      </c>
      <c r="F833" t="s">
        <v>33</v>
      </c>
      <c r="G833" s="3">
        <v>65930</v>
      </c>
      <c r="H833" s="3">
        <v>320001</v>
      </c>
      <c r="I833">
        <v>89</v>
      </c>
      <c r="J833" s="3">
        <v>0.97</v>
      </c>
      <c r="K833">
        <v>6.29</v>
      </c>
      <c r="L833">
        <v>1.2</v>
      </c>
      <c r="M833">
        <v>1</v>
      </c>
      <c r="N833">
        <v>301</v>
      </c>
      <c r="O833" s="3">
        <f t="shared" si="24"/>
        <v>19844930</v>
      </c>
      <c r="P833" s="3">
        <f t="shared" si="25"/>
        <v>19524929</v>
      </c>
    </row>
    <row r="834" spans="1:16">
      <c r="A834">
        <v>2019</v>
      </c>
      <c r="B834" t="s">
        <v>35</v>
      </c>
      <c r="C834" t="s">
        <v>17</v>
      </c>
      <c r="D834" t="s">
        <v>41</v>
      </c>
      <c r="E834" t="s">
        <v>23</v>
      </c>
      <c r="F834" t="s">
        <v>20</v>
      </c>
      <c r="G834" s="3">
        <v>92233</v>
      </c>
      <c r="H834" s="3">
        <v>192692</v>
      </c>
      <c r="I834">
        <v>16</v>
      </c>
      <c r="J834" s="3">
        <v>0.97</v>
      </c>
      <c r="K834">
        <v>6.29</v>
      </c>
      <c r="L834">
        <v>1.2</v>
      </c>
      <c r="M834">
        <v>3</v>
      </c>
      <c r="N834">
        <v>70</v>
      </c>
      <c r="O834" s="3">
        <f t="shared" si="24"/>
        <v>6456310</v>
      </c>
      <c r="P834" s="3">
        <f t="shared" si="25"/>
        <v>6263618</v>
      </c>
    </row>
    <row r="835" spans="1:16">
      <c r="A835">
        <v>2020</v>
      </c>
      <c r="B835" t="s">
        <v>37</v>
      </c>
      <c r="C835" t="s">
        <v>31</v>
      </c>
      <c r="D835" t="s">
        <v>27</v>
      </c>
      <c r="E835" t="s">
        <v>23</v>
      </c>
      <c r="F835" t="s">
        <v>28</v>
      </c>
      <c r="G835" s="3">
        <v>117821</v>
      </c>
      <c r="H835" s="3">
        <v>58177</v>
      </c>
      <c r="I835">
        <v>281</v>
      </c>
      <c r="J835" s="3">
        <v>0.97</v>
      </c>
      <c r="K835">
        <v>6.29</v>
      </c>
      <c r="L835">
        <v>1.2</v>
      </c>
      <c r="M835">
        <v>3</v>
      </c>
      <c r="N835">
        <v>654</v>
      </c>
      <c r="O835" s="3">
        <f t="shared" ref="O835:O898" si="26">N835*G835</f>
        <v>77054934</v>
      </c>
      <c r="P835" s="3">
        <f t="shared" ref="P835:P898" si="27">O835-H835</f>
        <v>76996757</v>
      </c>
    </row>
    <row r="836" spans="1:16">
      <c r="A836">
        <v>2019</v>
      </c>
      <c r="B836" t="s">
        <v>35</v>
      </c>
      <c r="C836" t="s">
        <v>34</v>
      </c>
      <c r="D836" t="s">
        <v>30</v>
      </c>
      <c r="E836" t="s">
        <v>23</v>
      </c>
      <c r="F836" t="s">
        <v>24</v>
      </c>
      <c r="G836" s="3">
        <v>49380</v>
      </c>
      <c r="H836" s="3">
        <v>473327</v>
      </c>
      <c r="I836">
        <v>236</v>
      </c>
      <c r="J836" s="3">
        <v>0.97</v>
      </c>
      <c r="K836">
        <v>6.29</v>
      </c>
      <c r="L836">
        <v>1.2</v>
      </c>
      <c r="M836">
        <v>1</v>
      </c>
      <c r="N836">
        <v>584</v>
      </c>
      <c r="O836" s="3">
        <f t="shared" si="26"/>
        <v>28837920</v>
      </c>
      <c r="P836" s="3">
        <f t="shared" si="27"/>
        <v>28364593</v>
      </c>
    </row>
    <row r="837" spans="1:16">
      <c r="A837">
        <v>2020</v>
      </c>
      <c r="B837" t="s">
        <v>25</v>
      </c>
      <c r="C837" t="s">
        <v>40</v>
      </c>
      <c r="D837" t="s">
        <v>39</v>
      </c>
      <c r="E837" t="s">
        <v>23</v>
      </c>
      <c r="F837" t="s">
        <v>24</v>
      </c>
      <c r="G837" s="3">
        <v>111896</v>
      </c>
      <c r="H837" s="3">
        <v>301842</v>
      </c>
      <c r="I837">
        <v>25</v>
      </c>
      <c r="J837" s="3">
        <v>0.97</v>
      </c>
      <c r="K837">
        <v>6.29</v>
      </c>
      <c r="L837">
        <v>1.2</v>
      </c>
      <c r="M837">
        <v>6</v>
      </c>
      <c r="N837">
        <v>396</v>
      </c>
      <c r="O837" s="3">
        <f t="shared" si="26"/>
        <v>44310816</v>
      </c>
      <c r="P837" s="3">
        <f t="shared" si="27"/>
        <v>44008974</v>
      </c>
    </row>
    <row r="838" spans="1:16">
      <c r="A838">
        <v>2020</v>
      </c>
      <c r="B838" t="s">
        <v>25</v>
      </c>
      <c r="C838" t="s">
        <v>40</v>
      </c>
      <c r="D838" t="s">
        <v>36</v>
      </c>
      <c r="E838" t="s">
        <v>19</v>
      </c>
      <c r="F838" t="s">
        <v>24</v>
      </c>
      <c r="G838" s="3">
        <v>105934</v>
      </c>
      <c r="H838" s="3">
        <v>400722</v>
      </c>
      <c r="I838">
        <v>21</v>
      </c>
      <c r="J838" s="3">
        <v>0.97</v>
      </c>
      <c r="K838">
        <v>6.29</v>
      </c>
      <c r="L838">
        <v>1.2</v>
      </c>
      <c r="M838">
        <v>9</v>
      </c>
      <c r="N838">
        <v>238</v>
      </c>
      <c r="O838" s="3">
        <f t="shared" si="26"/>
        <v>25212292</v>
      </c>
      <c r="P838" s="3">
        <f t="shared" si="27"/>
        <v>24811570</v>
      </c>
    </row>
    <row r="839" spans="1:16">
      <c r="A839">
        <v>2021</v>
      </c>
      <c r="B839" t="s">
        <v>35</v>
      </c>
      <c r="C839" t="s">
        <v>17</v>
      </c>
      <c r="D839" t="s">
        <v>42</v>
      </c>
      <c r="E839" t="s">
        <v>19</v>
      </c>
      <c r="F839" t="s">
        <v>33</v>
      </c>
      <c r="G839" s="3">
        <v>90830</v>
      </c>
      <c r="H839" s="3">
        <v>139941</v>
      </c>
      <c r="I839">
        <v>300</v>
      </c>
      <c r="J839" s="3">
        <v>0.97</v>
      </c>
      <c r="K839">
        <v>6.29</v>
      </c>
      <c r="L839">
        <v>1.2</v>
      </c>
      <c r="M839">
        <v>8</v>
      </c>
      <c r="N839">
        <v>629</v>
      </c>
      <c r="O839" s="3">
        <f t="shared" si="26"/>
        <v>57132070</v>
      </c>
      <c r="P839" s="3">
        <f t="shared" si="27"/>
        <v>56992129</v>
      </c>
    </row>
    <row r="840" spans="1:16">
      <c r="A840">
        <v>2018</v>
      </c>
      <c r="B840" t="s">
        <v>25</v>
      </c>
      <c r="C840" t="s">
        <v>51</v>
      </c>
      <c r="D840" t="s">
        <v>22</v>
      </c>
      <c r="E840" t="s">
        <v>23</v>
      </c>
      <c r="F840" t="s">
        <v>28</v>
      </c>
      <c r="G840" s="3">
        <v>40529</v>
      </c>
      <c r="H840" s="3">
        <v>308121</v>
      </c>
      <c r="I840">
        <v>250</v>
      </c>
      <c r="J840" s="3">
        <v>0.97</v>
      </c>
      <c r="K840">
        <v>6.29</v>
      </c>
      <c r="L840">
        <v>1.2</v>
      </c>
      <c r="M840">
        <v>7</v>
      </c>
      <c r="N840">
        <v>662</v>
      </c>
      <c r="O840" s="3">
        <f t="shared" si="26"/>
        <v>26830198</v>
      </c>
      <c r="P840" s="3">
        <f t="shared" si="27"/>
        <v>26522077</v>
      </c>
    </row>
    <row r="841" spans="1:16">
      <c r="A841">
        <v>2022</v>
      </c>
      <c r="B841" t="s">
        <v>21</v>
      </c>
      <c r="C841" t="s">
        <v>31</v>
      </c>
      <c r="D841" t="s">
        <v>18</v>
      </c>
      <c r="E841" t="s">
        <v>19</v>
      </c>
      <c r="F841" t="s">
        <v>33</v>
      </c>
      <c r="G841" s="3">
        <v>117987</v>
      </c>
      <c r="H841" s="3">
        <v>61826</v>
      </c>
      <c r="I841">
        <v>30</v>
      </c>
      <c r="J841" s="3">
        <v>0.97</v>
      </c>
      <c r="K841">
        <v>6.29</v>
      </c>
      <c r="L841">
        <v>1.2</v>
      </c>
      <c r="M841">
        <v>10</v>
      </c>
      <c r="N841">
        <v>80</v>
      </c>
      <c r="O841" s="3">
        <f t="shared" si="26"/>
        <v>9438960</v>
      </c>
      <c r="P841" s="3">
        <f t="shared" si="27"/>
        <v>9377134</v>
      </c>
    </row>
    <row r="842" spans="1:16">
      <c r="A842">
        <v>2021</v>
      </c>
      <c r="B842" t="s">
        <v>53</v>
      </c>
      <c r="C842" t="s">
        <v>17</v>
      </c>
      <c r="D842" t="s">
        <v>36</v>
      </c>
      <c r="E842" t="s">
        <v>19</v>
      </c>
      <c r="F842" t="s">
        <v>28</v>
      </c>
      <c r="G842" s="3">
        <v>84178</v>
      </c>
      <c r="H842" s="3">
        <v>194962</v>
      </c>
      <c r="I842">
        <v>187</v>
      </c>
      <c r="J842" s="3">
        <v>0.97</v>
      </c>
      <c r="K842">
        <v>6.29</v>
      </c>
      <c r="L842">
        <v>1.2</v>
      </c>
      <c r="M842">
        <v>8</v>
      </c>
      <c r="N842">
        <v>401</v>
      </c>
      <c r="O842" s="3">
        <f t="shared" si="26"/>
        <v>33755378</v>
      </c>
      <c r="P842" s="3">
        <f t="shared" si="27"/>
        <v>33560416</v>
      </c>
    </row>
    <row r="843" spans="1:16">
      <c r="A843">
        <v>2023</v>
      </c>
      <c r="B843" t="s">
        <v>16</v>
      </c>
      <c r="C843" t="s">
        <v>45</v>
      </c>
      <c r="D843" t="s">
        <v>42</v>
      </c>
      <c r="E843" t="s">
        <v>19</v>
      </c>
      <c r="F843" t="s">
        <v>20</v>
      </c>
      <c r="G843" s="3">
        <v>41937</v>
      </c>
      <c r="H843" s="3">
        <v>394572</v>
      </c>
      <c r="I843">
        <v>237</v>
      </c>
      <c r="J843" s="3">
        <v>0.97</v>
      </c>
      <c r="K843">
        <v>6.29</v>
      </c>
      <c r="L843">
        <v>1.2</v>
      </c>
      <c r="M843">
        <v>6</v>
      </c>
      <c r="N843">
        <v>588</v>
      </c>
      <c r="O843" s="3">
        <f t="shared" si="26"/>
        <v>24658956</v>
      </c>
      <c r="P843" s="3">
        <f t="shared" si="27"/>
        <v>24264384</v>
      </c>
    </row>
    <row r="844" spans="1:16">
      <c r="A844">
        <v>2021</v>
      </c>
      <c r="B844" t="s">
        <v>49</v>
      </c>
      <c r="C844" t="s">
        <v>44</v>
      </c>
      <c r="D844" t="s">
        <v>42</v>
      </c>
      <c r="E844" t="s">
        <v>19</v>
      </c>
      <c r="F844" t="s">
        <v>33</v>
      </c>
      <c r="G844" s="3">
        <v>74886</v>
      </c>
      <c r="H844" s="3">
        <v>176044</v>
      </c>
      <c r="I844">
        <v>282</v>
      </c>
      <c r="J844" s="3">
        <v>0.97</v>
      </c>
      <c r="K844">
        <v>6.29</v>
      </c>
      <c r="L844">
        <v>1.2</v>
      </c>
      <c r="M844">
        <v>9</v>
      </c>
      <c r="N844">
        <v>935</v>
      </c>
      <c r="O844" s="3">
        <f t="shared" si="26"/>
        <v>70018410</v>
      </c>
      <c r="P844" s="3">
        <f t="shared" si="27"/>
        <v>69842366</v>
      </c>
    </row>
    <row r="845" spans="1:16">
      <c r="A845">
        <v>2017</v>
      </c>
      <c r="B845" t="s">
        <v>47</v>
      </c>
      <c r="C845" t="s">
        <v>34</v>
      </c>
      <c r="D845" t="s">
        <v>30</v>
      </c>
      <c r="E845" t="s">
        <v>23</v>
      </c>
      <c r="F845" t="s">
        <v>33</v>
      </c>
      <c r="G845" s="3">
        <v>84699</v>
      </c>
      <c r="H845" s="3">
        <v>239103</v>
      </c>
      <c r="I845">
        <v>297</v>
      </c>
      <c r="J845" s="3">
        <v>0.97</v>
      </c>
      <c r="K845">
        <v>6.29</v>
      </c>
      <c r="L845">
        <v>1.2</v>
      </c>
      <c r="M845">
        <v>3</v>
      </c>
      <c r="N845">
        <v>796</v>
      </c>
      <c r="O845" s="3">
        <f t="shared" si="26"/>
        <v>67420404</v>
      </c>
      <c r="P845" s="3">
        <f t="shared" si="27"/>
        <v>67181301</v>
      </c>
    </row>
    <row r="846" spans="1:16">
      <c r="A846">
        <v>2017</v>
      </c>
      <c r="B846" t="s">
        <v>35</v>
      </c>
      <c r="C846" t="s">
        <v>46</v>
      </c>
      <c r="D846" t="s">
        <v>30</v>
      </c>
      <c r="E846" t="s">
        <v>23</v>
      </c>
      <c r="F846" t="s">
        <v>20</v>
      </c>
      <c r="G846" s="3">
        <v>111396</v>
      </c>
      <c r="H846" s="3">
        <v>387164</v>
      </c>
      <c r="I846">
        <v>306</v>
      </c>
      <c r="J846" s="3">
        <v>0.97</v>
      </c>
      <c r="K846">
        <v>6.29</v>
      </c>
      <c r="L846">
        <v>1.2</v>
      </c>
      <c r="M846">
        <v>10</v>
      </c>
      <c r="N846">
        <v>964</v>
      </c>
      <c r="O846" s="3">
        <f t="shared" si="26"/>
        <v>107385744</v>
      </c>
      <c r="P846" s="3">
        <f t="shared" si="27"/>
        <v>106998580</v>
      </c>
    </row>
    <row r="847" spans="1:16">
      <c r="A847">
        <v>2022</v>
      </c>
      <c r="B847" t="s">
        <v>43</v>
      </c>
      <c r="C847" t="s">
        <v>45</v>
      </c>
      <c r="D847" t="s">
        <v>30</v>
      </c>
      <c r="E847" t="s">
        <v>23</v>
      </c>
      <c r="F847" t="s">
        <v>28</v>
      </c>
      <c r="G847" s="3">
        <v>60279</v>
      </c>
      <c r="H847" s="3">
        <v>55495</v>
      </c>
      <c r="I847">
        <v>143</v>
      </c>
      <c r="J847" s="3">
        <v>0.97</v>
      </c>
      <c r="K847">
        <v>6.29</v>
      </c>
      <c r="L847">
        <v>1.2</v>
      </c>
      <c r="M847">
        <v>10</v>
      </c>
      <c r="N847">
        <v>312</v>
      </c>
      <c r="O847" s="3">
        <f t="shared" si="26"/>
        <v>18807048</v>
      </c>
      <c r="P847" s="3">
        <f t="shared" si="27"/>
        <v>18751553</v>
      </c>
    </row>
    <row r="848" spans="1:16">
      <c r="A848">
        <v>2019</v>
      </c>
      <c r="B848" t="s">
        <v>37</v>
      </c>
      <c r="C848" t="s">
        <v>51</v>
      </c>
      <c r="D848" t="s">
        <v>32</v>
      </c>
      <c r="E848" t="s">
        <v>19</v>
      </c>
      <c r="F848" t="s">
        <v>24</v>
      </c>
      <c r="G848" s="3">
        <v>73106</v>
      </c>
      <c r="H848" s="3">
        <v>78481</v>
      </c>
      <c r="I848">
        <v>292</v>
      </c>
      <c r="J848" s="3">
        <v>0.97</v>
      </c>
      <c r="K848">
        <v>6.29</v>
      </c>
      <c r="L848">
        <v>1.2</v>
      </c>
      <c r="M848">
        <v>9</v>
      </c>
      <c r="N848">
        <v>977</v>
      </c>
      <c r="O848" s="3">
        <f t="shared" si="26"/>
        <v>71424562</v>
      </c>
      <c r="P848" s="3">
        <f t="shared" si="27"/>
        <v>71346081</v>
      </c>
    </row>
    <row r="849" spans="1:16">
      <c r="A849">
        <v>2018</v>
      </c>
      <c r="B849" t="s">
        <v>53</v>
      </c>
      <c r="C849" t="s">
        <v>38</v>
      </c>
      <c r="D849" t="s">
        <v>32</v>
      </c>
      <c r="E849" t="s">
        <v>19</v>
      </c>
      <c r="F849" t="s">
        <v>20</v>
      </c>
      <c r="G849" s="3">
        <v>114737</v>
      </c>
      <c r="H849" s="3">
        <v>192339</v>
      </c>
      <c r="I849">
        <v>162</v>
      </c>
      <c r="J849" s="3">
        <v>0.97</v>
      </c>
      <c r="K849">
        <v>6.29</v>
      </c>
      <c r="L849">
        <v>1.2</v>
      </c>
      <c r="M849">
        <v>4</v>
      </c>
      <c r="N849">
        <v>747</v>
      </c>
      <c r="O849" s="3">
        <f t="shared" si="26"/>
        <v>85708539</v>
      </c>
      <c r="P849" s="3">
        <f t="shared" si="27"/>
        <v>85516200</v>
      </c>
    </row>
    <row r="850" spans="1:16">
      <c r="A850">
        <v>2022</v>
      </c>
      <c r="B850" t="s">
        <v>35</v>
      </c>
      <c r="C850" t="s">
        <v>38</v>
      </c>
      <c r="D850" t="s">
        <v>42</v>
      </c>
      <c r="E850" t="s">
        <v>19</v>
      </c>
      <c r="F850" t="s">
        <v>24</v>
      </c>
      <c r="G850" s="3">
        <v>75544</v>
      </c>
      <c r="H850" s="3">
        <v>430041</v>
      </c>
      <c r="I850">
        <v>75</v>
      </c>
      <c r="J850" s="3">
        <v>0.97</v>
      </c>
      <c r="K850">
        <v>6.29</v>
      </c>
      <c r="L850">
        <v>1.2</v>
      </c>
      <c r="M850">
        <v>7</v>
      </c>
      <c r="N850">
        <v>581</v>
      </c>
      <c r="O850" s="3">
        <f t="shared" si="26"/>
        <v>43891064</v>
      </c>
      <c r="P850" s="3">
        <f t="shared" si="27"/>
        <v>43461023</v>
      </c>
    </row>
    <row r="851" spans="1:16">
      <c r="A851">
        <v>2020</v>
      </c>
      <c r="B851" t="s">
        <v>53</v>
      </c>
      <c r="C851" t="s">
        <v>45</v>
      </c>
      <c r="D851" t="s">
        <v>30</v>
      </c>
      <c r="E851" t="s">
        <v>23</v>
      </c>
      <c r="F851" t="s">
        <v>24</v>
      </c>
      <c r="G851" s="3">
        <v>43997</v>
      </c>
      <c r="H851" s="3">
        <v>286774</v>
      </c>
      <c r="I851">
        <v>146</v>
      </c>
      <c r="J851" s="3">
        <v>0.97</v>
      </c>
      <c r="K851">
        <v>6.29</v>
      </c>
      <c r="L851">
        <v>1.2</v>
      </c>
      <c r="M851">
        <v>9</v>
      </c>
      <c r="N851">
        <v>389</v>
      </c>
      <c r="O851" s="3">
        <f t="shared" si="26"/>
        <v>17114833</v>
      </c>
      <c r="P851" s="3">
        <f t="shared" si="27"/>
        <v>16828059</v>
      </c>
    </row>
    <row r="852" spans="1:16">
      <c r="A852">
        <v>2016</v>
      </c>
      <c r="B852" t="s">
        <v>53</v>
      </c>
      <c r="C852" t="s">
        <v>17</v>
      </c>
      <c r="D852" t="s">
        <v>52</v>
      </c>
      <c r="E852" t="s">
        <v>19</v>
      </c>
      <c r="F852" t="s">
        <v>20</v>
      </c>
      <c r="G852" s="3">
        <v>75860</v>
      </c>
      <c r="H852" s="3">
        <v>187815</v>
      </c>
      <c r="I852">
        <v>101</v>
      </c>
      <c r="J852" s="3">
        <v>0.97</v>
      </c>
      <c r="K852">
        <v>6.29</v>
      </c>
      <c r="L852">
        <v>1.2</v>
      </c>
      <c r="M852">
        <v>2</v>
      </c>
      <c r="N852">
        <v>330</v>
      </c>
      <c r="O852" s="3">
        <f t="shared" si="26"/>
        <v>25033800</v>
      </c>
      <c r="P852" s="3">
        <f t="shared" si="27"/>
        <v>24845985</v>
      </c>
    </row>
    <row r="853" spans="1:16">
      <c r="A853">
        <v>2018</v>
      </c>
      <c r="B853" t="s">
        <v>35</v>
      </c>
      <c r="C853" t="s">
        <v>46</v>
      </c>
      <c r="D853" t="s">
        <v>22</v>
      </c>
      <c r="E853" t="s">
        <v>23</v>
      </c>
      <c r="F853" t="s">
        <v>28</v>
      </c>
      <c r="G853" s="3">
        <v>38225</v>
      </c>
      <c r="H853" s="3">
        <v>498016</v>
      </c>
      <c r="I853">
        <v>326</v>
      </c>
      <c r="J853" s="3">
        <v>0.97</v>
      </c>
      <c r="K853">
        <v>6.29</v>
      </c>
      <c r="L853">
        <v>1.2</v>
      </c>
      <c r="M853">
        <v>2</v>
      </c>
      <c r="N853">
        <v>1118</v>
      </c>
      <c r="O853" s="3">
        <f t="shared" si="26"/>
        <v>42735550</v>
      </c>
      <c r="P853" s="3">
        <f t="shared" si="27"/>
        <v>42237534</v>
      </c>
    </row>
    <row r="854" spans="1:16">
      <c r="A854">
        <v>2018</v>
      </c>
      <c r="B854" t="s">
        <v>48</v>
      </c>
      <c r="C854" t="s">
        <v>26</v>
      </c>
      <c r="D854" t="s">
        <v>36</v>
      </c>
      <c r="E854" t="s">
        <v>19</v>
      </c>
      <c r="F854" t="s">
        <v>24</v>
      </c>
      <c r="G854" s="3">
        <v>94470</v>
      </c>
      <c r="H854" s="3">
        <v>153475</v>
      </c>
      <c r="I854">
        <v>268</v>
      </c>
      <c r="J854" s="3">
        <v>0.97</v>
      </c>
      <c r="K854">
        <v>6.29</v>
      </c>
      <c r="L854">
        <v>1.2</v>
      </c>
      <c r="M854">
        <v>9</v>
      </c>
      <c r="N854">
        <v>733</v>
      </c>
      <c r="O854" s="3">
        <f t="shared" si="26"/>
        <v>69246510</v>
      </c>
      <c r="P854" s="3">
        <f t="shared" si="27"/>
        <v>69093035</v>
      </c>
    </row>
    <row r="855" spans="1:16">
      <c r="A855">
        <v>2020</v>
      </c>
      <c r="B855" t="s">
        <v>50</v>
      </c>
      <c r="C855" t="s">
        <v>26</v>
      </c>
      <c r="D855" t="s">
        <v>36</v>
      </c>
      <c r="E855" t="s">
        <v>19</v>
      </c>
      <c r="F855" t="s">
        <v>20</v>
      </c>
      <c r="G855" s="3">
        <v>98656</v>
      </c>
      <c r="H855" s="3">
        <v>229845</v>
      </c>
      <c r="I855">
        <v>112</v>
      </c>
      <c r="J855" s="3">
        <v>0.97</v>
      </c>
      <c r="K855">
        <v>6.29</v>
      </c>
      <c r="L855">
        <v>1.2</v>
      </c>
      <c r="M855">
        <v>3</v>
      </c>
      <c r="N855">
        <v>479</v>
      </c>
      <c r="O855" s="3">
        <f t="shared" si="26"/>
        <v>47256224</v>
      </c>
      <c r="P855" s="3">
        <f t="shared" si="27"/>
        <v>47026379</v>
      </c>
    </row>
    <row r="856" spans="1:16">
      <c r="A856">
        <v>2020</v>
      </c>
      <c r="B856" t="s">
        <v>43</v>
      </c>
      <c r="C856" t="s">
        <v>51</v>
      </c>
      <c r="D856" t="s">
        <v>32</v>
      </c>
      <c r="E856" t="s">
        <v>19</v>
      </c>
      <c r="F856" t="s">
        <v>33</v>
      </c>
      <c r="G856" s="3">
        <v>86880</v>
      </c>
      <c r="H856" s="3">
        <v>369186</v>
      </c>
      <c r="I856">
        <v>64</v>
      </c>
      <c r="J856" s="3">
        <v>0.97</v>
      </c>
      <c r="K856">
        <v>6.29</v>
      </c>
      <c r="L856">
        <v>1.2</v>
      </c>
      <c r="M856">
        <v>9</v>
      </c>
      <c r="N856">
        <v>194</v>
      </c>
      <c r="O856" s="3">
        <f t="shared" si="26"/>
        <v>16854720</v>
      </c>
      <c r="P856" s="3">
        <f t="shared" si="27"/>
        <v>16485534</v>
      </c>
    </row>
    <row r="857" spans="1:16">
      <c r="A857">
        <v>2015</v>
      </c>
      <c r="B857" t="s">
        <v>49</v>
      </c>
      <c r="C857" t="s">
        <v>17</v>
      </c>
      <c r="D857" t="s">
        <v>42</v>
      </c>
      <c r="E857" t="s">
        <v>19</v>
      </c>
      <c r="F857" t="s">
        <v>33</v>
      </c>
      <c r="G857" s="3">
        <v>96078</v>
      </c>
      <c r="H857" s="3">
        <v>99476</v>
      </c>
      <c r="I857">
        <v>266</v>
      </c>
      <c r="J857" s="3">
        <v>0.97</v>
      </c>
      <c r="K857">
        <v>6.29</v>
      </c>
      <c r="L857">
        <v>1.2</v>
      </c>
      <c r="M857">
        <v>5</v>
      </c>
      <c r="N857">
        <v>637</v>
      </c>
      <c r="O857" s="3">
        <f t="shared" si="26"/>
        <v>61201686</v>
      </c>
      <c r="P857" s="3">
        <f t="shared" si="27"/>
        <v>61102210</v>
      </c>
    </row>
    <row r="858" spans="1:16">
      <c r="A858">
        <v>2022</v>
      </c>
      <c r="B858" t="s">
        <v>49</v>
      </c>
      <c r="C858" t="s">
        <v>40</v>
      </c>
      <c r="D858" t="s">
        <v>18</v>
      </c>
      <c r="E858" t="s">
        <v>19</v>
      </c>
      <c r="F858" t="s">
        <v>33</v>
      </c>
      <c r="G858" s="3">
        <v>111290</v>
      </c>
      <c r="H858" s="3">
        <v>273177</v>
      </c>
      <c r="I858">
        <v>110</v>
      </c>
      <c r="J858" s="3">
        <v>0.97</v>
      </c>
      <c r="K858">
        <v>6.29</v>
      </c>
      <c r="L858">
        <v>1.2</v>
      </c>
      <c r="M858">
        <v>6</v>
      </c>
      <c r="N858">
        <v>277</v>
      </c>
      <c r="O858" s="3">
        <f t="shared" si="26"/>
        <v>30827330</v>
      </c>
      <c r="P858" s="3">
        <f t="shared" si="27"/>
        <v>30554153</v>
      </c>
    </row>
    <row r="859" spans="1:16">
      <c r="A859">
        <v>2020</v>
      </c>
      <c r="B859" t="s">
        <v>43</v>
      </c>
      <c r="C859" t="s">
        <v>40</v>
      </c>
      <c r="D859" t="s">
        <v>41</v>
      </c>
      <c r="E859" t="s">
        <v>23</v>
      </c>
      <c r="F859" t="s">
        <v>20</v>
      </c>
      <c r="G859" s="3">
        <v>91633</v>
      </c>
      <c r="H859" s="3">
        <v>340696</v>
      </c>
      <c r="I859">
        <v>207</v>
      </c>
      <c r="J859" s="3">
        <v>0.97</v>
      </c>
      <c r="K859">
        <v>6.29</v>
      </c>
      <c r="L859">
        <v>1.2</v>
      </c>
      <c r="M859">
        <v>2</v>
      </c>
      <c r="N859">
        <v>502</v>
      </c>
      <c r="O859" s="3">
        <f t="shared" si="26"/>
        <v>45999766</v>
      </c>
      <c r="P859" s="3">
        <f t="shared" si="27"/>
        <v>45659070</v>
      </c>
    </row>
    <row r="860" spans="1:16">
      <c r="A860">
        <v>2017</v>
      </c>
      <c r="B860" t="s">
        <v>48</v>
      </c>
      <c r="C860" t="s">
        <v>34</v>
      </c>
      <c r="D860" t="s">
        <v>41</v>
      </c>
      <c r="E860" t="s">
        <v>23</v>
      </c>
      <c r="F860" t="s">
        <v>33</v>
      </c>
      <c r="G860" s="3">
        <v>61655</v>
      </c>
      <c r="H860" s="3">
        <v>246314</v>
      </c>
      <c r="I860">
        <v>310</v>
      </c>
      <c r="J860" s="3">
        <v>0.97</v>
      </c>
      <c r="K860">
        <v>6.29</v>
      </c>
      <c r="L860">
        <v>1.2</v>
      </c>
      <c r="M860">
        <v>8</v>
      </c>
      <c r="N860">
        <v>1066</v>
      </c>
      <c r="O860" s="3">
        <f t="shared" si="26"/>
        <v>65724230</v>
      </c>
      <c r="P860" s="3">
        <f t="shared" si="27"/>
        <v>65477916</v>
      </c>
    </row>
    <row r="861" spans="1:16">
      <c r="A861">
        <v>2023</v>
      </c>
      <c r="B861" t="s">
        <v>25</v>
      </c>
      <c r="C861" t="s">
        <v>46</v>
      </c>
      <c r="D861" t="s">
        <v>32</v>
      </c>
      <c r="E861" t="s">
        <v>19</v>
      </c>
      <c r="F861" t="s">
        <v>24</v>
      </c>
      <c r="G861" s="3">
        <v>78601</v>
      </c>
      <c r="H861" s="3">
        <v>488988</v>
      </c>
      <c r="I861">
        <v>235</v>
      </c>
      <c r="J861" s="3">
        <v>0.97</v>
      </c>
      <c r="K861">
        <v>6.29</v>
      </c>
      <c r="L861">
        <v>1.2</v>
      </c>
      <c r="M861">
        <v>9</v>
      </c>
      <c r="N861">
        <v>810</v>
      </c>
      <c r="O861" s="3">
        <f t="shared" si="26"/>
        <v>63666810</v>
      </c>
      <c r="P861" s="3">
        <f t="shared" si="27"/>
        <v>63177822</v>
      </c>
    </row>
    <row r="862" spans="1:16">
      <c r="A862">
        <v>2016</v>
      </c>
      <c r="B862" t="s">
        <v>49</v>
      </c>
      <c r="C862" t="s">
        <v>46</v>
      </c>
      <c r="D862" t="s">
        <v>18</v>
      </c>
      <c r="E862" t="s">
        <v>19</v>
      </c>
      <c r="F862" t="s">
        <v>33</v>
      </c>
      <c r="G862" s="3">
        <v>38114</v>
      </c>
      <c r="H862" s="3">
        <v>486946</v>
      </c>
      <c r="I862">
        <v>246</v>
      </c>
      <c r="J862" s="3">
        <v>0.97</v>
      </c>
      <c r="K862">
        <v>6.29</v>
      </c>
      <c r="L862">
        <v>1.2</v>
      </c>
      <c r="M862">
        <v>2</v>
      </c>
      <c r="N862">
        <v>968</v>
      </c>
      <c r="O862" s="3">
        <f t="shared" si="26"/>
        <v>36894352</v>
      </c>
      <c r="P862" s="3">
        <f t="shared" si="27"/>
        <v>36407406</v>
      </c>
    </row>
    <row r="863" spans="1:16">
      <c r="A863">
        <v>2022</v>
      </c>
      <c r="B863" t="s">
        <v>53</v>
      </c>
      <c r="C863" t="s">
        <v>38</v>
      </c>
      <c r="D863" t="s">
        <v>32</v>
      </c>
      <c r="E863" t="s">
        <v>19</v>
      </c>
      <c r="F863" t="s">
        <v>33</v>
      </c>
      <c r="G863" s="3">
        <v>61502</v>
      </c>
      <c r="H863" s="3">
        <v>210020</v>
      </c>
      <c r="I863">
        <v>35</v>
      </c>
      <c r="J863" s="3">
        <v>0.97</v>
      </c>
      <c r="K863">
        <v>6.29</v>
      </c>
      <c r="L863">
        <v>1.2</v>
      </c>
      <c r="M863">
        <v>6</v>
      </c>
      <c r="N863">
        <v>270</v>
      </c>
      <c r="O863" s="3">
        <f t="shared" si="26"/>
        <v>16605540</v>
      </c>
      <c r="P863" s="3">
        <f t="shared" si="27"/>
        <v>16395520</v>
      </c>
    </row>
    <row r="864" spans="1:16">
      <c r="A864">
        <v>2024</v>
      </c>
      <c r="B864" t="s">
        <v>21</v>
      </c>
      <c r="C864" t="s">
        <v>31</v>
      </c>
      <c r="D864" t="s">
        <v>41</v>
      </c>
      <c r="E864" t="s">
        <v>23</v>
      </c>
      <c r="F864" t="s">
        <v>24</v>
      </c>
      <c r="G864" s="3">
        <v>84768</v>
      </c>
      <c r="H864" s="3">
        <v>257383</v>
      </c>
      <c r="I864">
        <v>130</v>
      </c>
      <c r="J864" s="3">
        <v>0.97</v>
      </c>
      <c r="K864">
        <v>6.29</v>
      </c>
      <c r="L864">
        <v>1.2</v>
      </c>
      <c r="M864">
        <v>6</v>
      </c>
      <c r="N864">
        <v>451</v>
      </c>
      <c r="O864" s="3">
        <f t="shared" si="26"/>
        <v>38230368</v>
      </c>
      <c r="P864" s="3">
        <f t="shared" si="27"/>
        <v>37972985</v>
      </c>
    </row>
    <row r="865" spans="1:16">
      <c r="A865">
        <v>2017</v>
      </c>
      <c r="B865" t="s">
        <v>37</v>
      </c>
      <c r="C865" t="s">
        <v>51</v>
      </c>
      <c r="D865" t="s">
        <v>18</v>
      </c>
      <c r="E865" t="s">
        <v>19</v>
      </c>
      <c r="F865" t="s">
        <v>33</v>
      </c>
      <c r="G865" s="3">
        <v>83128</v>
      </c>
      <c r="H865" s="3">
        <v>119093</v>
      </c>
      <c r="I865">
        <v>191</v>
      </c>
      <c r="J865" s="3">
        <v>0.97</v>
      </c>
      <c r="K865">
        <v>6.29</v>
      </c>
      <c r="L865">
        <v>1.2</v>
      </c>
      <c r="M865">
        <v>8</v>
      </c>
      <c r="N865">
        <v>512</v>
      </c>
      <c r="O865" s="3">
        <f t="shared" si="26"/>
        <v>42561536</v>
      </c>
      <c r="P865" s="3">
        <f t="shared" si="27"/>
        <v>42442443</v>
      </c>
    </row>
    <row r="866" spans="1:16">
      <c r="A866">
        <v>2019</v>
      </c>
      <c r="B866" t="s">
        <v>16</v>
      </c>
      <c r="C866" t="s">
        <v>26</v>
      </c>
      <c r="D866" t="s">
        <v>30</v>
      </c>
      <c r="E866" t="s">
        <v>23</v>
      </c>
      <c r="F866" t="s">
        <v>24</v>
      </c>
      <c r="G866" s="3">
        <v>55028</v>
      </c>
      <c r="H866" s="3">
        <v>119123</v>
      </c>
      <c r="I866">
        <v>208</v>
      </c>
      <c r="J866" s="3">
        <v>0.97</v>
      </c>
      <c r="K866">
        <v>6.29</v>
      </c>
      <c r="L866">
        <v>1.2</v>
      </c>
      <c r="M866">
        <v>10</v>
      </c>
      <c r="N866">
        <v>685</v>
      </c>
      <c r="O866" s="3">
        <f t="shared" si="26"/>
        <v>37694180</v>
      </c>
      <c r="P866" s="3">
        <f t="shared" si="27"/>
        <v>37575057</v>
      </c>
    </row>
    <row r="867" spans="1:16">
      <c r="A867">
        <v>2020</v>
      </c>
      <c r="B867" t="s">
        <v>49</v>
      </c>
      <c r="C867" t="s">
        <v>51</v>
      </c>
      <c r="D867" t="s">
        <v>42</v>
      </c>
      <c r="E867" t="s">
        <v>19</v>
      </c>
      <c r="F867" t="s">
        <v>33</v>
      </c>
      <c r="G867" s="3">
        <v>90565</v>
      </c>
      <c r="H867" s="3">
        <v>66535</v>
      </c>
      <c r="I867">
        <v>311</v>
      </c>
      <c r="J867" s="3">
        <v>0.97</v>
      </c>
      <c r="K867">
        <v>6.29</v>
      </c>
      <c r="L867">
        <v>1.2</v>
      </c>
      <c r="M867">
        <v>5</v>
      </c>
      <c r="N867">
        <v>1051</v>
      </c>
      <c r="O867" s="3">
        <f t="shared" si="26"/>
        <v>95183815</v>
      </c>
      <c r="P867" s="3">
        <f t="shared" si="27"/>
        <v>95117280</v>
      </c>
    </row>
    <row r="868" spans="1:16">
      <c r="A868">
        <v>2024</v>
      </c>
      <c r="B868" t="s">
        <v>43</v>
      </c>
      <c r="C868" t="s">
        <v>40</v>
      </c>
      <c r="D868" t="s">
        <v>36</v>
      </c>
      <c r="E868" t="s">
        <v>19</v>
      </c>
      <c r="F868" t="s">
        <v>24</v>
      </c>
      <c r="G868" s="3">
        <v>118123</v>
      </c>
      <c r="H868" s="3">
        <v>378634</v>
      </c>
      <c r="I868">
        <v>264</v>
      </c>
      <c r="J868" s="3">
        <v>0.97</v>
      </c>
      <c r="K868">
        <v>6.29</v>
      </c>
      <c r="L868">
        <v>1.2</v>
      </c>
      <c r="M868">
        <v>9</v>
      </c>
      <c r="N868">
        <v>912</v>
      </c>
      <c r="O868" s="3">
        <f t="shared" si="26"/>
        <v>107728176</v>
      </c>
      <c r="P868" s="3">
        <f t="shared" si="27"/>
        <v>107349542</v>
      </c>
    </row>
    <row r="869" spans="1:16">
      <c r="A869">
        <v>2020</v>
      </c>
      <c r="B869" t="s">
        <v>21</v>
      </c>
      <c r="C869" t="s">
        <v>40</v>
      </c>
      <c r="D869" t="s">
        <v>52</v>
      </c>
      <c r="E869" t="s">
        <v>19</v>
      </c>
      <c r="F869" t="s">
        <v>33</v>
      </c>
      <c r="G869" s="3">
        <v>70333</v>
      </c>
      <c r="H869" s="3">
        <v>96562</v>
      </c>
      <c r="I869">
        <v>131</v>
      </c>
      <c r="J869" s="3">
        <v>0.97</v>
      </c>
      <c r="K869">
        <v>6.29</v>
      </c>
      <c r="L869">
        <v>1.2</v>
      </c>
      <c r="M869">
        <v>1</v>
      </c>
      <c r="N869">
        <v>376</v>
      </c>
      <c r="O869" s="3">
        <f t="shared" si="26"/>
        <v>26445208</v>
      </c>
      <c r="P869" s="3">
        <f t="shared" si="27"/>
        <v>26348646</v>
      </c>
    </row>
    <row r="870" spans="1:16">
      <c r="A870">
        <v>2018</v>
      </c>
      <c r="B870" t="s">
        <v>35</v>
      </c>
      <c r="C870" t="s">
        <v>45</v>
      </c>
      <c r="D870" t="s">
        <v>27</v>
      </c>
      <c r="E870" t="s">
        <v>23</v>
      </c>
      <c r="F870" t="s">
        <v>24</v>
      </c>
      <c r="G870" s="3">
        <v>38174</v>
      </c>
      <c r="H870" s="3">
        <v>431186</v>
      </c>
      <c r="I870">
        <v>40</v>
      </c>
      <c r="J870" s="3">
        <v>0.97</v>
      </c>
      <c r="K870">
        <v>6.29</v>
      </c>
      <c r="L870">
        <v>1.2</v>
      </c>
      <c r="M870">
        <v>9</v>
      </c>
      <c r="N870">
        <v>420</v>
      </c>
      <c r="O870" s="3">
        <f t="shared" si="26"/>
        <v>16033080</v>
      </c>
      <c r="P870" s="3">
        <f t="shared" si="27"/>
        <v>15601894</v>
      </c>
    </row>
    <row r="871" spans="1:16">
      <c r="A871">
        <v>2017</v>
      </c>
      <c r="B871" t="s">
        <v>50</v>
      </c>
      <c r="C871" t="s">
        <v>34</v>
      </c>
      <c r="D871" t="s">
        <v>42</v>
      </c>
      <c r="E871" t="s">
        <v>19</v>
      </c>
      <c r="F871" t="s">
        <v>20</v>
      </c>
      <c r="G871" s="3">
        <v>70398</v>
      </c>
      <c r="H871" s="3">
        <v>306323</v>
      </c>
      <c r="I871">
        <v>324</v>
      </c>
      <c r="J871" s="3">
        <v>0.97</v>
      </c>
      <c r="K871">
        <v>6.29</v>
      </c>
      <c r="L871">
        <v>1.2</v>
      </c>
      <c r="M871">
        <v>10</v>
      </c>
      <c r="N871">
        <v>951</v>
      </c>
      <c r="O871" s="3">
        <f t="shared" si="26"/>
        <v>66948498</v>
      </c>
      <c r="P871" s="3">
        <f t="shared" si="27"/>
        <v>66642175</v>
      </c>
    </row>
    <row r="872" spans="1:16">
      <c r="A872">
        <v>2018</v>
      </c>
      <c r="B872" t="s">
        <v>43</v>
      </c>
      <c r="C872" t="s">
        <v>46</v>
      </c>
      <c r="D872" t="s">
        <v>30</v>
      </c>
      <c r="E872" t="s">
        <v>23</v>
      </c>
      <c r="F872" t="s">
        <v>24</v>
      </c>
      <c r="G872" s="3">
        <v>70929</v>
      </c>
      <c r="H872" s="3">
        <v>401224</v>
      </c>
      <c r="I872">
        <v>294</v>
      </c>
      <c r="J872" s="3">
        <v>0.97</v>
      </c>
      <c r="K872">
        <v>6.29</v>
      </c>
      <c r="L872">
        <v>1.2</v>
      </c>
      <c r="M872">
        <v>7</v>
      </c>
      <c r="N872">
        <v>869</v>
      </c>
      <c r="O872" s="3">
        <f t="shared" si="26"/>
        <v>61637301</v>
      </c>
      <c r="P872" s="3">
        <f t="shared" si="27"/>
        <v>61236077</v>
      </c>
    </row>
    <row r="873" spans="1:16">
      <c r="A873">
        <v>2015</v>
      </c>
      <c r="B873" t="s">
        <v>25</v>
      </c>
      <c r="C873" t="s">
        <v>44</v>
      </c>
      <c r="D873" t="s">
        <v>41</v>
      </c>
      <c r="E873" t="s">
        <v>23</v>
      </c>
      <c r="F873" t="s">
        <v>33</v>
      </c>
      <c r="G873" s="3">
        <v>39321</v>
      </c>
      <c r="H873" s="3">
        <v>308916</v>
      </c>
      <c r="I873">
        <v>115</v>
      </c>
      <c r="J873" s="3">
        <v>0.97</v>
      </c>
      <c r="K873">
        <v>6.29</v>
      </c>
      <c r="L873">
        <v>1.2</v>
      </c>
      <c r="M873">
        <v>4</v>
      </c>
      <c r="N873">
        <v>367</v>
      </c>
      <c r="O873" s="3">
        <f t="shared" si="26"/>
        <v>14430807</v>
      </c>
      <c r="P873" s="3">
        <f t="shared" si="27"/>
        <v>14121891</v>
      </c>
    </row>
    <row r="874" spans="1:16">
      <c r="A874">
        <v>2018</v>
      </c>
      <c r="B874" t="s">
        <v>53</v>
      </c>
      <c r="C874" t="s">
        <v>51</v>
      </c>
      <c r="D874" t="s">
        <v>30</v>
      </c>
      <c r="E874" t="s">
        <v>23</v>
      </c>
      <c r="F874" t="s">
        <v>33</v>
      </c>
      <c r="G874" s="3">
        <v>90421</v>
      </c>
      <c r="H874" s="3">
        <v>239607</v>
      </c>
      <c r="I874">
        <v>233</v>
      </c>
      <c r="J874" s="3">
        <v>0.97</v>
      </c>
      <c r="K874">
        <v>6.29</v>
      </c>
      <c r="L874">
        <v>1.2</v>
      </c>
      <c r="M874">
        <v>3</v>
      </c>
      <c r="N874">
        <v>591</v>
      </c>
      <c r="O874" s="3">
        <f t="shared" si="26"/>
        <v>53438811</v>
      </c>
      <c r="P874" s="3">
        <f t="shared" si="27"/>
        <v>53199204</v>
      </c>
    </row>
    <row r="875" spans="1:16">
      <c r="A875">
        <v>2015</v>
      </c>
      <c r="B875" t="s">
        <v>50</v>
      </c>
      <c r="C875" t="s">
        <v>40</v>
      </c>
      <c r="D875" t="s">
        <v>32</v>
      </c>
      <c r="E875" t="s">
        <v>19</v>
      </c>
      <c r="F875" t="s">
        <v>28</v>
      </c>
      <c r="G875" s="3">
        <v>107635</v>
      </c>
      <c r="H875" s="3">
        <v>280063</v>
      </c>
      <c r="I875">
        <v>282</v>
      </c>
      <c r="J875" s="3">
        <v>0.97</v>
      </c>
      <c r="K875">
        <v>6.29</v>
      </c>
      <c r="L875">
        <v>1.2</v>
      </c>
      <c r="M875">
        <v>10</v>
      </c>
      <c r="N875">
        <v>662</v>
      </c>
      <c r="O875" s="3">
        <f t="shared" si="26"/>
        <v>71254370</v>
      </c>
      <c r="P875" s="3">
        <f t="shared" si="27"/>
        <v>70974307</v>
      </c>
    </row>
    <row r="876" spans="1:16">
      <c r="A876">
        <v>2015</v>
      </c>
      <c r="B876" t="s">
        <v>37</v>
      </c>
      <c r="C876" t="s">
        <v>31</v>
      </c>
      <c r="D876" t="s">
        <v>18</v>
      </c>
      <c r="E876" t="s">
        <v>19</v>
      </c>
      <c r="F876" t="s">
        <v>24</v>
      </c>
      <c r="G876" s="3">
        <v>58760</v>
      </c>
      <c r="H876" s="3">
        <v>91269</v>
      </c>
      <c r="I876">
        <v>241</v>
      </c>
      <c r="J876" s="3">
        <v>0.97</v>
      </c>
      <c r="K876">
        <v>6.29</v>
      </c>
      <c r="L876">
        <v>1.2</v>
      </c>
      <c r="M876">
        <v>6</v>
      </c>
      <c r="N876">
        <v>916</v>
      </c>
      <c r="O876" s="3">
        <f t="shared" si="26"/>
        <v>53824160</v>
      </c>
      <c r="P876" s="3">
        <f t="shared" si="27"/>
        <v>53732891</v>
      </c>
    </row>
    <row r="877" spans="1:16">
      <c r="A877">
        <v>2024</v>
      </c>
      <c r="B877" t="s">
        <v>37</v>
      </c>
      <c r="C877" t="s">
        <v>38</v>
      </c>
      <c r="D877" t="s">
        <v>36</v>
      </c>
      <c r="E877" t="s">
        <v>19</v>
      </c>
      <c r="F877" t="s">
        <v>20</v>
      </c>
      <c r="G877" s="3">
        <v>46360</v>
      </c>
      <c r="H877" s="3">
        <v>130674</v>
      </c>
      <c r="I877">
        <v>265</v>
      </c>
      <c r="J877" s="3">
        <v>0.97</v>
      </c>
      <c r="K877">
        <v>6.29</v>
      </c>
      <c r="L877">
        <v>1.2</v>
      </c>
      <c r="M877">
        <v>1</v>
      </c>
      <c r="N877">
        <v>695</v>
      </c>
      <c r="O877" s="3">
        <f t="shared" si="26"/>
        <v>32220200</v>
      </c>
      <c r="P877" s="3">
        <f t="shared" si="27"/>
        <v>32089526</v>
      </c>
    </row>
    <row r="878" spans="1:16">
      <c r="A878">
        <v>2020</v>
      </c>
      <c r="B878" t="s">
        <v>48</v>
      </c>
      <c r="C878" t="s">
        <v>26</v>
      </c>
      <c r="D878" t="s">
        <v>22</v>
      </c>
      <c r="E878" t="s">
        <v>23</v>
      </c>
      <c r="F878" t="s">
        <v>24</v>
      </c>
      <c r="G878" s="3">
        <v>45313</v>
      </c>
      <c r="H878" s="3">
        <v>354606</v>
      </c>
      <c r="I878">
        <v>33</v>
      </c>
      <c r="J878" s="3">
        <v>0.97</v>
      </c>
      <c r="K878">
        <v>6.29</v>
      </c>
      <c r="L878">
        <v>1.2</v>
      </c>
      <c r="M878">
        <v>3</v>
      </c>
      <c r="N878">
        <v>530</v>
      </c>
      <c r="O878" s="3">
        <f t="shared" si="26"/>
        <v>24015890</v>
      </c>
      <c r="P878" s="3">
        <f t="shared" si="27"/>
        <v>23661284</v>
      </c>
    </row>
    <row r="879" spans="1:16">
      <c r="A879">
        <v>2019</v>
      </c>
      <c r="B879" t="s">
        <v>47</v>
      </c>
      <c r="C879" t="s">
        <v>34</v>
      </c>
      <c r="D879" t="s">
        <v>32</v>
      </c>
      <c r="E879" t="s">
        <v>19</v>
      </c>
      <c r="F879" t="s">
        <v>24</v>
      </c>
      <c r="G879" s="3">
        <v>40801</v>
      </c>
      <c r="H879" s="3">
        <v>446343</v>
      </c>
      <c r="I879">
        <v>118</v>
      </c>
      <c r="J879" s="3">
        <v>0.97</v>
      </c>
      <c r="K879">
        <v>6.29</v>
      </c>
      <c r="L879">
        <v>1.2</v>
      </c>
      <c r="M879">
        <v>2</v>
      </c>
      <c r="N879">
        <v>716</v>
      </c>
      <c r="O879" s="3">
        <f t="shared" si="26"/>
        <v>29213516</v>
      </c>
      <c r="P879" s="3">
        <f t="shared" si="27"/>
        <v>28767173</v>
      </c>
    </row>
    <row r="880" spans="1:16">
      <c r="A880">
        <v>2018</v>
      </c>
      <c r="B880" t="s">
        <v>48</v>
      </c>
      <c r="C880" t="s">
        <v>31</v>
      </c>
      <c r="D880" t="s">
        <v>42</v>
      </c>
      <c r="E880" t="s">
        <v>19</v>
      </c>
      <c r="F880" t="s">
        <v>20</v>
      </c>
      <c r="G880" s="3">
        <v>49130</v>
      </c>
      <c r="H880" s="3">
        <v>335291</v>
      </c>
      <c r="I880">
        <v>200</v>
      </c>
      <c r="J880" s="3">
        <v>0.97</v>
      </c>
      <c r="K880">
        <v>6.29</v>
      </c>
      <c r="L880">
        <v>1.2</v>
      </c>
      <c r="M880">
        <v>9</v>
      </c>
      <c r="N880">
        <v>533</v>
      </c>
      <c r="O880" s="3">
        <f t="shared" si="26"/>
        <v>26186290</v>
      </c>
      <c r="P880" s="3">
        <f t="shared" si="27"/>
        <v>25850999</v>
      </c>
    </row>
    <row r="881" spans="1:16">
      <c r="A881">
        <v>2017</v>
      </c>
      <c r="B881" t="s">
        <v>25</v>
      </c>
      <c r="C881" t="s">
        <v>34</v>
      </c>
      <c r="D881" t="s">
        <v>32</v>
      </c>
      <c r="E881" t="s">
        <v>19</v>
      </c>
      <c r="F881" t="s">
        <v>24</v>
      </c>
      <c r="G881" s="3">
        <v>49271</v>
      </c>
      <c r="H881" s="3">
        <v>488744</v>
      </c>
      <c r="I881">
        <v>356</v>
      </c>
      <c r="J881" s="3">
        <v>0.97</v>
      </c>
      <c r="K881">
        <v>6.29</v>
      </c>
      <c r="L881">
        <v>1.2</v>
      </c>
      <c r="M881">
        <v>3</v>
      </c>
      <c r="N881">
        <v>967</v>
      </c>
      <c r="O881" s="3">
        <f t="shared" si="26"/>
        <v>47645057</v>
      </c>
      <c r="P881" s="3">
        <f t="shared" si="27"/>
        <v>47156313</v>
      </c>
    </row>
    <row r="882" spans="1:16">
      <c r="A882">
        <v>2015</v>
      </c>
      <c r="B882" t="s">
        <v>21</v>
      </c>
      <c r="C882" t="s">
        <v>45</v>
      </c>
      <c r="D882" t="s">
        <v>42</v>
      </c>
      <c r="E882" t="s">
        <v>19</v>
      </c>
      <c r="F882" t="s">
        <v>20</v>
      </c>
      <c r="G882" s="3">
        <v>51075</v>
      </c>
      <c r="H882" s="3">
        <v>127095</v>
      </c>
      <c r="I882">
        <v>34</v>
      </c>
      <c r="J882" s="3">
        <v>0.97</v>
      </c>
      <c r="K882">
        <v>6.29</v>
      </c>
      <c r="L882">
        <v>1.2</v>
      </c>
      <c r="M882">
        <v>2</v>
      </c>
      <c r="N882">
        <v>388</v>
      </c>
      <c r="O882" s="3">
        <f t="shared" si="26"/>
        <v>19817100</v>
      </c>
      <c r="P882" s="3">
        <f t="shared" si="27"/>
        <v>19690005</v>
      </c>
    </row>
    <row r="883" spans="1:16">
      <c r="A883">
        <v>2020</v>
      </c>
      <c r="B883" t="s">
        <v>50</v>
      </c>
      <c r="C883" t="s">
        <v>44</v>
      </c>
      <c r="D883" t="s">
        <v>22</v>
      </c>
      <c r="E883" t="s">
        <v>23</v>
      </c>
      <c r="F883" t="s">
        <v>20</v>
      </c>
      <c r="G883" s="3">
        <v>53984</v>
      </c>
      <c r="H883" s="3">
        <v>294172</v>
      </c>
      <c r="I883">
        <v>196</v>
      </c>
      <c r="J883" s="3">
        <v>0.97</v>
      </c>
      <c r="K883">
        <v>6.29</v>
      </c>
      <c r="L883">
        <v>1.2</v>
      </c>
      <c r="M883">
        <v>4</v>
      </c>
      <c r="N883">
        <v>545</v>
      </c>
      <c r="O883" s="3">
        <f t="shared" si="26"/>
        <v>29421280</v>
      </c>
      <c r="P883" s="3">
        <f t="shared" si="27"/>
        <v>29127108</v>
      </c>
    </row>
    <row r="884" spans="1:16">
      <c r="A884">
        <v>2016</v>
      </c>
      <c r="B884" t="s">
        <v>47</v>
      </c>
      <c r="C884" t="s">
        <v>40</v>
      </c>
      <c r="D884" t="s">
        <v>39</v>
      </c>
      <c r="E884" t="s">
        <v>23</v>
      </c>
      <c r="F884" t="s">
        <v>24</v>
      </c>
      <c r="G884" s="3">
        <v>95942</v>
      </c>
      <c r="H884" s="3">
        <v>250003</v>
      </c>
      <c r="I884">
        <v>297</v>
      </c>
      <c r="J884" s="3">
        <v>0.97</v>
      </c>
      <c r="K884">
        <v>6.29</v>
      </c>
      <c r="L884">
        <v>1.2</v>
      </c>
      <c r="M884">
        <v>2</v>
      </c>
      <c r="N884">
        <v>892</v>
      </c>
      <c r="O884" s="3">
        <f t="shared" si="26"/>
        <v>85580264</v>
      </c>
      <c r="P884" s="3">
        <f t="shared" si="27"/>
        <v>85330261</v>
      </c>
    </row>
    <row r="885" spans="1:16">
      <c r="A885">
        <v>2022</v>
      </c>
      <c r="B885" t="s">
        <v>35</v>
      </c>
      <c r="C885" t="s">
        <v>38</v>
      </c>
      <c r="D885" t="s">
        <v>36</v>
      </c>
      <c r="E885" t="s">
        <v>19</v>
      </c>
      <c r="F885" t="s">
        <v>24</v>
      </c>
      <c r="G885" s="3">
        <v>47861</v>
      </c>
      <c r="H885" s="3">
        <v>140925</v>
      </c>
      <c r="I885">
        <v>125</v>
      </c>
      <c r="J885" s="3">
        <v>0.97</v>
      </c>
      <c r="K885">
        <v>6.29</v>
      </c>
      <c r="L885">
        <v>1.2</v>
      </c>
      <c r="M885">
        <v>1</v>
      </c>
      <c r="N885">
        <v>669</v>
      </c>
      <c r="O885" s="3">
        <f t="shared" si="26"/>
        <v>32019009</v>
      </c>
      <c r="P885" s="3">
        <f t="shared" si="27"/>
        <v>31878084</v>
      </c>
    </row>
    <row r="886" spans="1:16">
      <c r="A886">
        <v>2024</v>
      </c>
      <c r="B886" t="s">
        <v>53</v>
      </c>
      <c r="C886" t="s">
        <v>31</v>
      </c>
      <c r="D886" t="s">
        <v>52</v>
      </c>
      <c r="E886" t="s">
        <v>19</v>
      </c>
      <c r="F886" t="s">
        <v>33</v>
      </c>
      <c r="G886" s="3">
        <v>117203</v>
      </c>
      <c r="H886" s="3">
        <v>116381</v>
      </c>
      <c r="I886">
        <v>347</v>
      </c>
      <c r="J886" s="3">
        <v>0.97</v>
      </c>
      <c r="K886">
        <v>6.29</v>
      </c>
      <c r="L886">
        <v>1.2</v>
      </c>
      <c r="M886">
        <v>6</v>
      </c>
      <c r="N886">
        <v>926</v>
      </c>
      <c r="O886" s="3">
        <f t="shared" si="26"/>
        <v>108529978</v>
      </c>
      <c r="P886" s="3">
        <f t="shared" si="27"/>
        <v>108413597</v>
      </c>
    </row>
    <row r="887" spans="1:16">
      <c r="A887">
        <v>2019</v>
      </c>
      <c r="B887" t="s">
        <v>50</v>
      </c>
      <c r="C887" t="s">
        <v>34</v>
      </c>
      <c r="D887" t="s">
        <v>52</v>
      </c>
      <c r="E887" t="s">
        <v>19</v>
      </c>
      <c r="F887" t="s">
        <v>33</v>
      </c>
      <c r="G887" s="3">
        <v>106376</v>
      </c>
      <c r="H887" s="3">
        <v>149468</v>
      </c>
      <c r="I887">
        <v>375</v>
      </c>
      <c r="J887" s="3">
        <v>0.97</v>
      </c>
      <c r="K887">
        <v>6.29</v>
      </c>
      <c r="L887">
        <v>1.2</v>
      </c>
      <c r="M887">
        <v>10</v>
      </c>
      <c r="N887">
        <v>749</v>
      </c>
      <c r="O887" s="3">
        <f t="shared" si="26"/>
        <v>79675624</v>
      </c>
      <c r="P887" s="3">
        <f t="shared" si="27"/>
        <v>79526156</v>
      </c>
    </row>
    <row r="888" spans="1:16">
      <c r="A888">
        <v>2021</v>
      </c>
      <c r="B888" t="s">
        <v>48</v>
      </c>
      <c r="C888" t="s">
        <v>46</v>
      </c>
      <c r="D888" t="s">
        <v>27</v>
      </c>
      <c r="E888" t="s">
        <v>23</v>
      </c>
      <c r="F888" t="s">
        <v>28</v>
      </c>
      <c r="G888" s="3">
        <v>96247</v>
      </c>
      <c r="H888" s="3">
        <v>292330</v>
      </c>
      <c r="I888">
        <v>46</v>
      </c>
      <c r="J888" s="3">
        <v>0.97</v>
      </c>
      <c r="K888">
        <v>6.29</v>
      </c>
      <c r="L888">
        <v>1.2</v>
      </c>
      <c r="M888">
        <v>8</v>
      </c>
      <c r="N888">
        <v>136</v>
      </c>
      <c r="O888" s="3">
        <f t="shared" si="26"/>
        <v>13089592</v>
      </c>
      <c r="P888" s="3">
        <f t="shared" si="27"/>
        <v>12797262</v>
      </c>
    </row>
    <row r="889" spans="1:16">
      <c r="A889">
        <v>2024</v>
      </c>
      <c r="B889" t="s">
        <v>16</v>
      </c>
      <c r="C889" t="s">
        <v>45</v>
      </c>
      <c r="D889" t="s">
        <v>30</v>
      </c>
      <c r="E889" t="s">
        <v>23</v>
      </c>
      <c r="F889" t="s">
        <v>28</v>
      </c>
      <c r="G889" s="3">
        <v>104101</v>
      </c>
      <c r="H889" s="3">
        <v>375893</v>
      </c>
      <c r="I889">
        <v>291</v>
      </c>
      <c r="J889" s="3">
        <v>0.97</v>
      </c>
      <c r="K889">
        <v>6.29</v>
      </c>
      <c r="L889">
        <v>1.2</v>
      </c>
      <c r="M889">
        <v>10</v>
      </c>
      <c r="N889">
        <v>727</v>
      </c>
      <c r="O889" s="3">
        <f t="shared" si="26"/>
        <v>75681427</v>
      </c>
      <c r="P889" s="3">
        <f t="shared" si="27"/>
        <v>75305534</v>
      </c>
    </row>
    <row r="890" spans="1:16">
      <c r="A890">
        <v>2016</v>
      </c>
      <c r="B890" t="s">
        <v>29</v>
      </c>
      <c r="C890" t="s">
        <v>46</v>
      </c>
      <c r="D890" t="s">
        <v>39</v>
      </c>
      <c r="E890" t="s">
        <v>23</v>
      </c>
      <c r="F890" t="s">
        <v>24</v>
      </c>
      <c r="G890" s="3">
        <v>55977</v>
      </c>
      <c r="H890" s="3">
        <v>481888</v>
      </c>
      <c r="I890">
        <v>146</v>
      </c>
      <c r="J890" s="3">
        <v>0.97</v>
      </c>
      <c r="K890">
        <v>6.29</v>
      </c>
      <c r="L890">
        <v>1.2</v>
      </c>
      <c r="M890">
        <v>10</v>
      </c>
      <c r="N890">
        <v>600</v>
      </c>
      <c r="O890" s="3">
        <f t="shared" si="26"/>
        <v>33586200</v>
      </c>
      <c r="P890" s="3">
        <f t="shared" si="27"/>
        <v>33104312</v>
      </c>
    </row>
    <row r="891" spans="1:16">
      <c r="A891">
        <v>2022</v>
      </c>
      <c r="B891" t="s">
        <v>47</v>
      </c>
      <c r="C891" t="s">
        <v>38</v>
      </c>
      <c r="D891" t="s">
        <v>52</v>
      </c>
      <c r="E891" t="s">
        <v>19</v>
      </c>
      <c r="F891" t="s">
        <v>20</v>
      </c>
      <c r="G891" s="3">
        <v>85617</v>
      </c>
      <c r="H891" s="3">
        <v>63731</v>
      </c>
      <c r="I891">
        <v>236</v>
      </c>
      <c r="J891" s="3">
        <v>0.97</v>
      </c>
      <c r="K891">
        <v>6.29</v>
      </c>
      <c r="L891">
        <v>1.2</v>
      </c>
      <c r="M891">
        <v>2</v>
      </c>
      <c r="N891">
        <v>674</v>
      </c>
      <c r="O891" s="3">
        <f t="shared" si="26"/>
        <v>57705858</v>
      </c>
      <c r="P891" s="3">
        <f t="shared" si="27"/>
        <v>57642127</v>
      </c>
    </row>
    <row r="892" spans="1:16">
      <c r="A892">
        <v>2016</v>
      </c>
      <c r="B892" t="s">
        <v>47</v>
      </c>
      <c r="C892" t="s">
        <v>31</v>
      </c>
      <c r="D892" t="s">
        <v>32</v>
      </c>
      <c r="E892" t="s">
        <v>19</v>
      </c>
      <c r="F892" t="s">
        <v>28</v>
      </c>
      <c r="G892" s="3">
        <v>92473</v>
      </c>
      <c r="H892" s="3">
        <v>436791</v>
      </c>
      <c r="I892">
        <v>329</v>
      </c>
      <c r="J892" s="3">
        <v>0.97</v>
      </c>
      <c r="K892">
        <v>6.29</v>
      </c>
      <c r="L892">
        <v>1.2</v>
      </c>
      <c r="M892">
        <v>9</v>
      </c>
      <c r="N892">
        <v>935</v>
      </c>
      <c r="O892" s="3">
        <f t="shared" si="26"/>
        <v>86462255</v>
      </c>
      <c r="P892" s="3">
        <f t="shared" si="27"/>
        <v>86025464</v>
      </c>
    </row>
    <row r="893" spans="1:16">
      <c r="A893">
        <v>2018</v>
      </c>
      <c r="B893" t="s">
        <v>25</v>
      </c>
      <c r="C893" t="s">
        <v>45</v>
      </c>
      <c r="D893" t="s">
        <v>30</v>
      </c>
      <c r="E893" t="s">
        <v>23</v>
      </c>
      <c r="F893" t="s">
        <v>24</v>
      </c>
      <c r="G893" s="3">
        <v>107902</v>
      </c>
      <c r="H893" s="3">
        <v>497728</v>
      </c>
      <c r="I893">
        <v>337</v>
      </c>
      <c r="J893" s="3">
        <v>0.97</v>
      </c>
      <c r="K893">
        <v>6.29</v>
      </c>
      <c r="L893">
        <v>1.2</v>
      </c>
      <c r="M893">
        <v>3</v>
      </c>
      <c r="N893">
        <v>719</v>
      </c>
      <c r="O893" s="3">
        <f t="shared" si="26"/>
        <v>77581538</v>
      </c>
      <c r="P893" s="3">
        <f t="shared" si="27"/>
        <v>77083810</v>
      </c>
    </row>
    <row r="894" spans="1:16">
      <c r="A894">
        <v>2015</v>
      </c>
      <c r="B894" t="s">
        <v>53</v>
      </c>
      <c r="C894" t="s">
        <v>31</v>
      </c>
      <c r="D894" t="s">
        <v>39</v>
      </c>
      <c r="E894" t="s">
        <v>23</v>
      </c>
      <c r="F894" t="s">
        <v>28</v>
      </c>
      <c r="G894" s="3">
        <v>50630</v>
      </c>
      <c r="H894" s="3">
        <v>101024</v>
      </c>
      <c r="I894">
        <v>191</v>
      </c>
      <c r="J894" s="3">
        <v>0.97</v>
      </c>
      <c r="K894">
        <v>6.29</v>
      </c>
      <c r="L894">
        <v>1.2</v>
      </c>
      <c r="M894">
        <v>8</v>
      </c>
      <c r="N894">
        <v>780</v>
      </c>
      <c r="O894" s="3">
        <f t="shared" si="26"/>
        <v>39491400</v>
      </c>
      <c r="P894" s="3">
        <f t="shared" si="27"/>
        <v>39390376</v>
      </c>
    </row>
    <row r="895" spans="1:16">
      <c r="A895">
        <v>2019</v>
      </c>
      <c r="B895" t="s">
        <v>49</v>
      </c>
      <c r="C895" t="s">
        <v>40</v>
      </c>
      <c r="D895" t="s">
        <v>18</v>
      </c>
      <c r="E895" t="s">
        <v>19</v>
      </c>
      <c r="F895" t="s">
        <v>20</v>
      </c>
      <c r="G895" s="3">
        <v>55056</v>
      </c>
      <c r="H895" s="3">
        <v>166712</v>
      </c>
      <c r="I895">
        <v>371</v>
      </c>
      <c r="J895" s="3">
        <v>0.97</v>
      </c>
      <c r="K895">
        <v>6.29</v>
      </c>
      <c r="L895">
        <v>1.2</v>
      </c>
      <c r="M895">
        <v>8</v>
      </c>
      <c r="N895">
        <v>913</v>
      </c>
      <c r="O895" s="3">
        <f t="shared" si="26"/>
        <v>50266128</v>
      </c>
      <c r="P895" s="3">
        <f t="shared" si="27"/>
        <v>50099416</v>
      </c>
    </row>
    <row r="896" spans="1:16">
      <c r="A896">
        <v>2023</v>
      </c>
      <c r="B896" t="s">
        <v>37</v>
      </c>
      <c r="C896" t="s">
        <v>17</v>
      </c>
      <c r="D896" t="s">
        <v>18</v>
      </c>
      <c r="E896" t="s">
        <v>19</v>
      </c>
      <c r="F896" t="s">
        <v>24</v>
      </c>
      <c r="G896" s="3">
        <v>42382</v>
      </c>
      <c r="H896" s="3">
        <v>151121</v>
      </c>
      <c r="I896">
        <v>95</v>
      </c>
      <c r="J896" s="3">
        <v>0.97</v>
      </c>
      <c r="K896">
        <v>6.29</v>
      </c>
      <c r="L896">
        <v>1.2</v>
      </c>
      <c r="M896">
        <v>3</v>
      </c>
      <c r="N896">
        <v>465</v>
      </c>
      <c r="O896" s="3">
        <f t="shared" si="26"/>
        <v>19707630</v>
      </c>
      <c r="P896" s="3">
        <f t="shared" si="27"/>
        <v>19556509</v>
      </c>
    </row>
    <row r="897" spans="1:16">
      <c r="A897">
        <v>2015</v>
      </c>
      <c r="B897" t="s">
        <v>37</v>
      </c>
      <c r="C897" t="s">
        <v>45</v>
      </c>
      <c r="D897" t="s">
        <v>30</v>
      </c>
      <c r="E897" t="s">
        <v>23</v>
      </c>
      <c r="F897" t="s">
        <v>20</v>
      </c>
      <c r="G897" s="3">
        <v>90739</v>
      </c>
      <c r="H897" s="3">
        <v>315976</v>
      </c>
      <c r="I897">
        <v>62</v>
      </c>
      <c r="J897" s="3">
        <v>0.97</v>
      </c>
      <c r="K897">
        <v>6.29</v>
      </c>
      <c r="L897">
        <v>1.2</v>
      </c>
      <c r="M897">
        <v>3</v>
      </c>
      <c r="N897">
        <v>527</v>
      </c>
      <c r="O897" s="3">
        <f t="shared" si="26"/>
        <v>47819453</v>
      </c>
      <c r="P897" s="3">
        <f t="shared" si="27"/>
        <v>47503477</v>
      </c>
    </row>
    <row r="898" spans="1:16">
      <c r="A898">
        <v>2023</v>
      </c>
      <c r="B898" t="s">
        <v>16</v>
      </c>
      <c r="C898" t="s">
        <v>46</v>
      </c>
      <c r="D898" t="s">
        <v>42</v>
      </c>
      <c r="E898" t="s">
        <v>19</v>
      </c>
      <c r="F898" t="s">
        <v>24</v>
      </c>
      <c r="G898" s="3">
        <v>116685</v>
      </c>
      <c r="H898" s="3">
        <v>82332</v>
      </c>
      <c r="I898">
        <v>357</v>
      </c>
      <c r="J898" s="3">
        <v>0.97</v>
      </c>
      <c r="K898">
        <v>6.29</v>
      </c>
      <c r="L898">
        <v>1.2</v>
      </c>
      <c r="M898">
        <v>6</v>
      </c>
      <c r="N898">
        <v>900</v>
      </c>
      <c r="O898" s="3">
        <f t="shared" si="26"/>
        <v>105016500</v>
      </c>
      <c r="P898" s="3">
        <f t="shared" si="27"/>
        <v>104934168</v>
      </c>
    </row>
    <row r="899" spans="1:16">
      <c r="A899">
        <v>2022</v>
      </c>
      <c r="B899" t="s">
        <v>21</v>
      </c>
      <c r="C899" t="s">
        <v>38</v>
      </c>
      <c r="D899" t="s">
        <v>42</v>
      </c>
      <c r="E899" t="s">
        <v>19</v>
      </c>
      <c r="F899" t="s">
        <v>28</v>
      </c>
      <c r="G899" s="3">
        <v>83639</v>
      </c>
      <c r="H899" s="3">
        <v>62467</v>
      </c>
      <c r="I899">
        <v>364</v>
      </c>
      <c r="J899" s="3">
        <v>0.97</v>
      </c>
      <c r="K899">
        <v>6.29</v>
      </c>
      <c r="L899">
        <v>1.2</v>
      </c>
      <c r="M899">
        <v>1</v>
      </c>
      <c r="N899">
        <v>823</v>
      </c>
      <c r="O899" s="3">
        <f t="shared" ref="O899:O962" si="28">N899*G899</f>
        <v>68834897</v>
      </c>
      <c r="P899" s="3">
        <f t="shared" ref="P899:P962" si="29">O899-H899</f>
        <v>68772430</v>
      </c>
    </row>
    <row r="900" spans="1:16">
      <c r="A900">
        <v>2020</v>
      </c>
      <c r="B900" t="s">
        <v>25</v>
      </c>
      <c r="C900" t="s">
        <v>44</v>
      </c>
      <c r="D900" t="s">
        <v>32</v>
      </c>
      <c r="E900" t="s">
        <v>19</v>
      </c>
      <c r="F900" t="s">
        <v>33</v>
      </c>
      <c r="G900" s="3">
        <v>94838</v>
      </c>
      <c r="H900" s="3">
        <v>91025</v>
      </c>
      <c r="I900">
        <v>244</v>
      </c>
      <c r="J900" s="3">
        <v>0.97</v>
      </c>
      <c r="K900">
        <v>6.29</v>
      </c>
      <c r="L900">
        <v>1.2</v>
      </c>
      <c r="M900">
        <v>4</v>
      </c>
      <c r="N900">
        <v>560</v>
      </c>
      <c r="O900" s="3">
        <f t="shared" si="28"/>
        <v>53109280</v>
      </c>
      <c r="P900" s="3">
        <f t="shared" si="29"/>
        <v>53018255</v>
      </c>
    </row>
    <row r="901" spans="1:16">
      <c r="A901">
        <v>2021</v>
      </c>
      <c r="B901" t="s">
        <v>21</v>
      </c>
      <c r="C901" t="s">
        <v>40</v>
      </c>
      <c r="D901" t="s">
        <v>39</v>
      </c>
      <c r="E901" t="s">
        <v>23</v>
      </c>
      <c r="F901" t="s">
        <v>28</v>
      </c>
      <c r="G901" s="3">
        <v>81041</v>
      </c>
      <c r="H901" s="3">
        <v>194179</v>
      </c>
      <c r="I901">
        <v>276</v>
      </c>
      <c r="J901" s="3">
        <v>0.97</v>
      </c>
      <c r="K901">
        <v>6.29</v>
      </c>
      <c r="L901">
        <v>1.2</v>
      </c>
      <c r="M901">
        <v>1</v>
      </c>
      <c r="N901">
        <v>636</v>
      </c>
      <c r="O901" s="3">
        <f t="shared" si="28"/>
        <v>51542076</v>
      </c>
      <c r="P901" s="3">
        <f t="shared" si="29"/>
        <v>51347897</v>
      </c>
    </row>
    <row r="902" spans="1:16">
      <c r="A902">
        <v>2017</v>
      </c>
      <c r="B902" t="s">
        <v>35</v>
      </c>
      <c r="C902" t="s">
        <v>17</v>
      </c>
      <c r="D902" t="s">
        <v>39</v>
      </c>
      <c r="E902" t="s">
        <v>23</v>
      </c>
      <c r="F902" t="s">
        <v>28</v>
      </c>
      <c r="G902" s="3">
        <v>35992</v>
      </c>
      <c r="H902" s="3">
        <v>127994</v>
      </c>
      <c r="I902">
        <v>296</v>
      </c>
      <c r="J902" s="3">
        <v>0.97</v>
      </c>
      <c r="K902">
        <v>6.29</v>
      </c>
      <c r="L902">
        <v>1.2</v>
      </c>
      <c r="M902">
        <v>3</v>
      </c>
      <c r="N902">
        <v>907</v>
      </c>
      <c r="O902" s="3">
        <f t="shared" si="28"/>
        <v>32644744</v>
      </c>
      <c r="P902" s="3">
        <f t="shared" si="29"/>
        <v>32516750</v>
      </c>
    </row>
    <row r="903" spans="1:16">
      <c r="A903">
        <v>2015</v>
      </c>
      <c r="B903" t="s">
        <v>50</v>
      </c>
      <c r="C903" t="s">
        <v>44</v>
      </c>
      <c r="D903" t="s">
        <v>30</v>
      </c>
      <c r="E903" t="s">
        <v>23</v>
      </c>
      <c r="F903" t="s">
        <v>33</v>
      </c>
      <c r="G903" s="3">
        <v>107394</v>
      </c>
      <c r="H903" s="3">
        <v>144202</v>
      </c>
      <c r="I903">
        <v>109</v>
      </c>
      <c r="J903" s="3">
        <v>0.97</v>
      </c>
      <c r="K903">
        <v>6.29</v>
      </c>
      <c r="L903">
        <v>1.2</v>
      </c>
      <c r="M903">
        <v>9</v>
      </c>
      <c r="N903">
        <v>224</v>
      </c>
      <c r="O903" s="3">
        <f t="shared" si="28"/>
        <v>24056256</v>
      </c>
      <c r="P903" s="3">
        <f t="shared" si="29"/>
        <v>23912054</v>
      </c>
    </row>
    <row r="904" spans="1:16">
      <c r="A904">
        <v>2019</v>
      </c>
      <c r="B904" t="s">
        <v>29</v>
      </c>
      <c r="C904" t="s">
        <v>26</v>
      </c>
      <c r="D904" t="s">
        <v>41</v>
      </c>
      <c r="E904" t="s">
        <v>23</v>
      </c>
      <c r="F904" t="s">
        <v>33</v>
      </c>
      <c r="G904" s="3">
        <v>102657</v>
      </c>
      <c r="H904" s="3">
        <v>93481</v>
      </c>
      <c r="I904">
        <v>96</v>
      </c>
      <c r="J904" s="3">
        <v>0.97</v>
      </c>
      <c r="K904">
        <v>6.29</v>
      </c>
      <c r="L904">
        <v>1.2</v>
      </c>
      <c r="M904">
        <v>5</v>
      </c>
      <c r="N904">
        <v>186</v>
      </c>
      <c r="O904" s="3">
        <f t="shared" si="28"/>
        <v>19094202</v>
      </c>
      <c r="P904" s="3">
        <f t="shared" si="29"/>
        <v>19000721</v>
      </c>
    </row>
    <row r="905" spans="1:16">
      <c r="A905">
        <v>2016</v>
      </c>
      <c r="B905" t="s">
        <v>43</v>
      </c>
      <c r="C905" t="s">
        <v>40</v>
      </c>
      <c r="D905" t="s">
        <v>18</v>
      </c>
      <c r="E905" t="s">
        <v>19</v>
      </c>
      <c r="F905" t="s">
        <v>24</v>
      </c>
      <c r="G905" s="3">
        <v>62160</v>
      </c>
      <c r="H905" s="3">
        <v>445797</v>
      </c>
      <c r="I905">
        <v>24</v>
      </c>
      <c r="J905" s="3">
        <v>0.97</v>
      </c>
      <c r="K905">
        <v>6.29</v>
      </c>
      <c r="L905">
        <v>1.2</v>
      </c>
      <c r="M905">
        <v>5</v>
      </c>
      <c r="N905">
        <v>406</v>
      </c>
      <c r="O905" s="3">
        <f t="shared" si="28"/>
        <v>25236960</v>
      </c>
      <c r="P905" s="3">
        <f t="shared" si="29"/>
        <v>24791163</v>
      </c>
    </row>
    <row r="906" spans="1:16">
      <c r="A906">
        <v>2019</v>
      </c>
      <c r="B906" t="s">
        <v>49</v>
      </c>
      <c r="C906" t="s">
        <v>38</v>
      </c>
      <c r="D906" t="s">
        <v>39</v>
      </c>
      <c r="E906" t="s">
        <v>23</v>
      </c>
      <c r="F906" t="s">
        <v>24</v>
      </c>
      <c r="G906" s="3">
        <v>80156</v>
      </c>
      <c r="H906" s="3">
        <v>125118</v>
      </c>
      <c r="I906">
        <v>110</v>
      </c>
      <c r="J906" s="3">
        <v>0.97</v>
      </c>
      <c r="K906">
        <v>6.29</v>
      </c>
      <c r="L906">
        <v>1.2</v>
      </c>
      <c r="M906">
        <v>4</v>
      </c>
      <c r="N906">
        <v>455</v>
      </c>
      <c r="O906" s="3">
        <f t="shared" si="28"/>
        <v>36470980</v>
      </c>
      <c r="P906" s="3">
        <f t="shared" si="29"/>
        <v>36345862</v>
      </c>
    </row>
    <row r="907" spans="1:16">
      <c r="A907">
        <v>2022</v>
      </c>
      <c r="B907" t="s">
        <v>48</v>
      </c>
      <c r="C907" t="s">
        <v>34</v>
      </c>
      <c r="D907" t="s">
        <v>30</v>
      </c>
      <c r="E907" t="s">
        <v>23</v>
      </c>
      <c r="F907" t="s">
        <v>20</v>
      </c>
      <c r="G907" s="3">
        <v>86375</v>
      </c>
      <c r="H907" s="3">
        <v>436154</v>
      </c>
      <c r="I907">
        <v>174</v>
      </c>
      <c r="J907" s="3">
        <v>0.97</v>
      </c>
      <c r="K907">
        <v>6.29</v>
      </c>
      <c r="L907">
        <v>1.2</v>
      </c>
      <c r="M907">
        <v>3</v>
      </c>
      <c r="N907">
        <v>711</v>
      </c>
      <c r="O907" s="3">
        <f t="shared" si="28"/>
        <v>61412625</v>
      </c>
      <c r="P907" s="3">
        <f t="shared" si="29"/>
        <v>60976471</v>
      </c>
    </row>
    <row r="908" spans="1:16">
      <c r="A908">
        <v>2023</v>
      </c>
      <c r="B908" t="s">
        <v>43</v>
      </c>
      <c r="C908" t="s">
        <v>45</v>
      </c>
      <c r="D908" t="s">
        <v>22</v>
      </c>
      <c r="E908" t="s">
        <v>23</v>
      </c>
      <c r="F908" t="s">
        <v>20</v>
      </c>
      <c r="G908" s="3">
        <v>54572</v>
      </c>
      <c r="H908" s="3">
        <v>494854</v>
      </c>
      <c r="I908">
        <v>38</v>
      </c>
      <c r="J908" s="3">
        <v>0.97</v>
      </c>
      <c r="K908">
        <v>6.29</v>
      </c>
      <c r="L908">
        <v>1.2</v>
      </c>
      <c r="M908">
        <v>5</v>
      </c>
      <c r="N908">
        <v>253</v>
      </c>
      <c r="O908" s="3">
        <f t="shared" si="28"/>
        <v>13806716</v>
      </c>
      <c r="P908" s="3">
        <f t="shared" si="29"/>
        <v>13311862</v>
      </c>
    </row>
    <row r="909" spans="1:16">
      <c r="A909">
        <v>2016</v>
      </c>
      <c r="B909" t="s">
        <v>43</v>
      </c>
      <c r="C909" t="s">
        <v>31</v>
      </c>
      <c r="D909" t="s">
        <v>27</v>
      </c>
      <c r="E909" t="s">
        <v>23</v>
      </c>
      <c r="F909" t="s">
        <v>28</v>
      </c>
      <c r="G909" s="3">
        <v>39136</v>
      </c>
      <c r="H909" s="3">
        <v>173714</v>
      </c>
      <c r="I909">
        <v>123</v>
      </c>
      <c r="J909" s="3">
        <v>0.97</v>
      </c>
      <c r="K909">
        <v>6.29</v>
      </c>
      <c r="L909">
        <v>1.2</v>
      </c>
      <c r="M909">
        <v>4</v>
      </c>
      <c r="N909">
        <v>387</v>
      </c>
      <c r="O909" s="3">
        <f t="shared" si="28"/>
        <v>15145632</v>
      </c>
      <c r="P909" s="3">
        <f t="shared" si="29"/>
        <v>14971918</v>
      </c>
    </row>
    <row r="910" spans="1:16">
      <c r="A910">
        <v>2017</v>
      </c>
      <c r="B910" t="s">
        <v>25</v>
      </c>
      <c r="C910" t="s">
        <v>38</v>
      </c>
      <c r="D910" t="s">
        <v>22</v>
      </c>
      <c r="E910" t="s">
        <v>23</v>
      </c>
      <c r="F910" t="s">
        <v>33</v>
      </c>
      <c r="G910" s="3">
        <v>96868</v>
      </c>
      <c r="H910" s="3">
        <v>451634</v>
      </c>
      <c r="I910">
        <v>116</v>
      </c>
      <c r="J910" s="3">
        <v>0.97</v>
      </c>
      <c r="K910">
        <v>6.29</v>
      </c>
      <c r="L910">
        <v>1.2</v>
      </c>
      <c r="M910">
        <v>8</v>
      </c>
      <c r="N910">
        <v>455</v>
      </c>
      <c r="O910" s="3">
        <f t="shared" si="28"/>
        <v>44074940</v>
      </c>
      <c r="P910" s="3">
        <f t="shared" si="29"/>
        <v>43623306</v>
      </c>
    </row>
    <row r="911" spans="1:16">
      <c r="A911">
        <v>2017</v>
      </c>
      <c r="B911" t="s">
        <v>47</v>
      </c>
      <c r="C911" t="s">
        <v>45</v>
      </c>
      <c r="D911" t="s">
        <v>36</v>
      </c>
      <c r="E911" t="s">
        <v>19</v>
      </c>
      <c r="F911" t="s">
        <v>20</v>
      </c>
      <c r="G911" s="3">
        <v>117263</v>
      </c>
      <c r="H911" s="3">
        <v>274699</v>
      </c>
      <c r="I911">
        <v>373</v>
      </c>
      <c r="J911" s="3">
        <v>0.97</v>
      </c>
      <c r="K911">
        <v>6.29</v>
      </c>
      <c r="L911">
        <v>1.2</v>
      </c>
      <c r="M911">
        <v>4</v>
      </c>
      <c r="N911">
        <v>880</v>
      </c>
      <c r="O911" s="3">
        <f t="shared" si="28"/>
        <v>103191440</v>
      </c>
      <c r="P911" s="3">
        <f t="shared" si="29"/>
        <v>102916741</v>
      </c>
    </row>
    <row r="912" spans="1:16">
      <c r="A912">
        <v>2015</v>
      </c>
      <c r="B912" t="s">
        <v>16</v>
      </c>
      <c r="C912" t="s">
        <v>44</v>
      </c>
      <c r="D912" t="s">
        <v>32</v>
      </c>
      <c r="E912" t="s">
        <v>19</v>
      </c>
      <c r="F912" t="s">
        <v>28</v>
      </c>
      <c r="G912" s="3">
        <v>67167</v>
      </c>
      <c r="H912" s="3">
        <v>210185</v>
      </c>
      <c r="I912">
        <v>139</v>
      </c>
      <c r="J912" s="3">
        <v>0.97</v>
      </c>
      <c r="K912">
        <v>6.29</v>
      </c>
      <c r="L912">
        <v>1.2</v>
      </c>
      <c r="M912">
        <v>8</v>
      </c>
      <c r="N912">
        <v>380</v>
      </c>
      <c r="O912" s="3">
        <f t="shared" si="28"/>
        <v>25523460</v>
      </c>
      <c r="P912" s="3">
        <f t="shared" si="29"/>
        <v>25313275</v>
      </c>
    </row>
    <row r="913" spans="1:16">
      <c r="A913">
        <v>2022</v>
      </c>
      <c r="B913" t="s">
        <v>37</v>
      </c>
      <c r="C913" t="s">
        <v>31</v>
      </c>
      <c r="D913" t="s">
        <v>39</v>
      </c>
      <c r="E913" t="s">
        <v>23</v>
      </c>
      <c r="F913" t="s">
        <v>33</v>
      </c>
      <c r="G913" s="3">
        <v>50479</v>
      </c>
      <c r="H913" s="3">
        <v>134363</v>
      </c>
      <c r="I913">
        <v>93</v>
      </c>
      <c r="J913" s="3">
        <v>0.97</v>
      </c>
      <c r="K913">
        <v>6.29</v>
      </c>
      <c r="L913">
        <v>1.2</v>
      </c>
      <c r="M913">
        <v>6</v>
      </c>
      <c r="N913">
        <v>372</v>
      </c>
      <c r="O913" s="3">
        <f t="shared" si="28"/>
        <v>18778188</v>
      </c>
      <c r="P913" s="3">
        <f t="shared" si="29"/>
        <v>18643825</v>
      </c>
    </row>
    <row r="914" spans="1:16">
      <c r="A914">
        <v>2020</v>
      </c>
      <c r="B914" t="s">
        <v>35</v>
      </c>
      <c r="C914" t="s">
        <v>51</v>
      </c>
      <c r="D914" t="s">
        <v>36</v>
      </c>
      <c r="E914" t="s">
        <v>19</v>
      </c>
      <c r="F914" t="s">
        <v>24</v>
      </c>
      <c r="G914" s="3">
        <v>66376</v>
      </c>
      <c r="H914" s="3">
        <v>435751</v>
      </c>
      <c r="I914">
        <v>280</v>
      </c>
      <c r="J914" s="3">
        <v>0.97</v>
      </c>
      <c r="K914">
        <v>6.29</v>
      </c>
      <c r="L914">
        <v>1.2</v>
      </c>
      <c r="M914">
        <v>5</v>
      </c>
      <c r="N914">
        <v>610</v>
      </c>
      <c r="O914" s="3">
        <f t="shared" si="28"/>
        <v>40489360</v>
      </c>
      <c r="P914" s="3">
        <f t="shared" si="29"/>
        <v>40053609</v>
      </c>
    </row>
    <row r="915" spans="1:16">
      <c r="A915">
        <v>2022</v>
      </c>
      <c r="B915" t="s">
        <v>21</v>
      </c>
      <c r="C915" t="s">
        <v>46</v>
      </c>
      <c r="D915" t="s">
        <v>52</v>
      </c>
      <c r="E915" t="s">
        <v>19</v>
      </c>
      <c r="F915" t="s">
        <v>28</v>
      </c>
      <c r="G915" s="3">
        <v>39823</v>
      </c>
      <c r="H915" s="3">
        <v>375188</v>
      </c>
      <c r="I915">
        <v>253</v>
      </c>
      <c r="J915" s="3">
        <v>0.97</v>
      </c>
      <c r="K915">
        <v>6.29</v>
      </c>
      <c r="L915">
        <v>1.2</v>
      </c>
      <c r="M915">
        <v>4</v>
      </c>
      <c r="N915">
        <v>794</v>
      </c>
      <c r="O915" s="3">
        <f t="shared" si="28"/>
        <v>31619462</v>
      </c>
      <c r="P915" s="3">
        <f t="shared" si="29"/>
        <v>31244274</v>
      </c>
    </row>
    <row r="916" spans="1:16">
      <c r="A916">
        <v>2023</v>
      </c>
      <c r="B916" t="s">
        <v>29</v>
      </c>
      <c r="C916" t="s">
        <v>26</v>
      </c>
      <c r="D916" t="s">
        <v>36</v>
      </c>
      <c r="E916" t="s">
        <v>19</v>
      </c>
      <c r="F916" t="s">
        <v>24</v>
      </c>
      <c r="G916" s="3">
        <v>105456</v>
      </c>
      <c r="H916" s="3">
        <v>261027</v>
      </c>
      <c r="I916">
        <v>397</v>
      </c>
      <c r="J916" s="3">
        <v>0.97</v>
      </c>
      <c r="K916">
        <v>6.29</v>
      </c>
      <c r="L916">
        <v>1.2</v>
      </c>
      <c r="M916">
        <v>4</v>
      </c>
      <c r="N916">
        <v>1130</v>
      </c>
      <c r="O916" s="3">
        <f t="shared" si="28"/>
        <v>119165280</v>
      </c>
      <c r="P916" s="3">
        <f t="shared" si="29"/>
        <v>118904253</v>
      </c>
    </row>
    <row r="917" spans="1:16">
      <c r="A917">
        <v>2019</v>
      </c>
      <c r="B917" t="s">
        <v>25</v>
      </c>
      <c r="C917" t="s">
        <v>40</v>
      </c>
      <c r="D917" t="s">
        <v>30</v>
      </c>
      <c r="E917" t="s">
        <v>23</v>
      </c>
      <c r="F917" t="s">
        <v>20</v>
      </c>
      <c r="G917" s="3">
        <v>54585</v>
      </c>
      <c r="H917" s="3">
        <v>323958</v>
      </c>
      <c r="I917">
        <v>223</v>
      </c>
      <c r="J917" s="3">
        <v>0.97</v>
      </c>
      <c r="K917">
        <v>6.29</v>
      </c>
      <c r="L917">
        <v>1.2</v>
      </c>
      <c r="M917">
        <v>4</v>
      </c>
      <c r="N917">
        <v>861</v>
      </c>
      <c r="O917" s="3">
        <f t="shared" si="28"/>
        <v>46997685</v>
      </c>
      <c r="P917" s="3">
        <f t="shared" si="29"/>
        <v>46673727</v>
      </c>
    </row>
    <row r="918" spans="1:16">
      <c r="A918">
        <v>2017</v>
      </c>
      <c r="B918" t="s">
        <v>16</v>
      </c>
      <c r="C918" t="s">
        <v>38</v>
      </c>
      <c r="D918" t="s">
        <v>39</v>
      </c>
      <c r="E918" t="s">
        <v>23</v>
      </c>
      <c r="F918" t="s">
        <v>20</v>
      </c>
      <c r="G918" s="3">
        <v>52272</v>
      </c>
      <c r="H918" s="3">
        <v>411484</v>
      </c>
      <c r="I918">
        <v>315</v>
      </c>
      <c r="J918" s="3">
        <v>0.97</v>
      </c>
      <c r="K918">
        <v>6.29</v>
      </c>
      <c r="L918">
        <v>1.2</v>
      </c>
      <c r="M918">
        <v>9</v>
      </c>
      <c r="N918">
        <v>1036</v>
      </c>
      <c r="O918" s="3">
        <f t="shared" si="28"/>
        <v>54153792</v>
      </c>
      <c r="P918" s="3">
        <f t="shared" si="29"/>
        <v>53742308</v>
      </c>
    </row>
    <row r="919" spans="1:16">
      <c r="A919">
        <v>2019</v>
      </c>
      <c r="B919" t="s">
        <v>47</v>
      </c>
      <c r="C919" t="s">
        <v>26</v>
      </c>
      <c r="D919" t="s">
        <v>27</v>
      </c>
      <c r="E919" t="s">
        <v>23</v>
      </c>
      <c r="F919" t="s">
        <v>33</v>
      </c>
      <c r="G919" s="3">
        <v>61619</v>
      </c>
      <c r="H919" s="3">
        <v>322168</v>
      </c>
      <c r="I919">
        <v>175</v>
      </c>
      <c r="J919" s="3">
        <v>0.97</v>
      </c>
      <c r="K919">
        <v>6.29</v>
      </c>
      <c r="L919">
        <v>1.2</v>
      </c>
      <c r="M919">
        <v>4</v>
      </c>
      <c r="N919">
        <v>606</v>
      </c>
      <c r="O919" s="3">
        <f t="shared" si="28"/>
        <v>37341114</v>
      </c>
      <c r="P919" s="3">
        <f t="shared" si="29"/>
        <v>37018946</v>
      </c>
    </row>
    <row r="920" spans="1:16">
      <c r="A920">
        <v>2019</v>
      </c>
      <c r="B920" t="s">
        <v>48</v>
      </c>
      <c r="C920" t="s">
        <v>34</v>
      </c>
      <c r="D920" t="s">
        <v>30</v>
      </c>
      <c r="E920" t="s">
        <v>23</v>
      </c>
      <c r="F920" t="s">
        <v>28</v>
      </c>
      <c r="G920" s="3">
        <v>110069</v>
      </c>
      <c r="H920" s="3">
        <v>244360</v>
      </c>
      <c r="I920">
        <v>288</v>
      </c>
      <c r="J920" s="3">
        <v>0.97</v>
      </c>
      <c r="K920">
        <v>6.29</v>
      </c>
      <c r="L920">
        <v>1.2</v>
      </c>
      <c r="M920">
        <v>9</v>
      </c>
      <c r="N920">
        <v>791</v>
      </c>
      <c r="O920" s="3">
        <f t="shared" si="28"/>
        <v>87064579</v>
      </c>
      <c r="P920" s="3">
        <f t="shared" si="29"/>
        <v>86820219</v>
      </c>
    </row>
    <row r="921" spans="1:16">
      <c r="A921">
        <v>2019</v>
      </c>
      <c r="B921" t="s">
        <v>35</v>
      </c>
      <c r="C921" t="s">
        <v>45</v>
      </c>
      <c r="D921" t="s">
        <v>30</v>
      </c>
      <c r="E921" t="s">
        <v>23</v>
      </c>
      <c r="F921" t="s">
        <v>24</v>
      </c>
      <c r="G921" s="3">
        <v>74895</v>
      </c>
      <c r="H921" s="3">
        <v>421380</v>
      </c>
      <c r="I921">
        <v>68</v>
      </c>
      <c r="J921" s="3">
        <v>0.97</v>
      </c>
      <c r="K921">
        <v>6.29</v>
      </c>
      <c r="L921">
        <v>1.2</v>
      </c>
      <c r="M921">
        <v>10</v>
      </c>
      <c r="N921">
        <v>547</v>
      </c>
      <c r="O921" s="3">
        <f t="shared" si="28"/>
        <v>40967565</v>
      </c>
      <c r="P921" s="3">
        <f t="shared" si="29"/>
        <v>40546185</v>
      </c>
    </row>
    <row r="922" spans="1:16">
      <c r="A922">
        <v>2017</v>
      </c>
      <c r="B922" t="s">
        <v>25</v>
      </c>
      <c r="C922" t="s">
        <v>45</v>
      </c>
      <c r="D922" t="s">
        <v>32</v>
      </c>
      <c r="E922" t="s">
        <v>19</v>
      </c>
      <c r="F922" t="s">
        <v>33</v>
      </c>
      <c r="G922" s="3">
        <v>38720</v>
      </c>
      <c r="H922" s="3">
        <v>107836</v>
      </c>
      <c r="I922">
        <v>99</v>
      </c>
      <c r="J922" s="3">
        <v>0.97</v>
      </c>
      <c r="K922">
        <v>6.29</v>
      </c>
      <c r="L922">
        <v>1.2</v>
      </c>
      <c r="M922">
        <v>6</v>
      </c>
      <c r="N922">
        <v>349</v>
      </c>
      <c r="O922" s="3">
        <f t="shared" si="28"/>
        <v>13513280</v>
      </c>
      <c r="P922" s="3">
        <f t="shared" si="29"/>
        <v>13405444</v>
      </c>
    </row>
    <row r="923" spans="1:16">
      <c r="A923">
        <v>2024</v>
      </c>
      <c r="B923" t="s">
        <v>47</v>
      </c>
      <c r="C923" t="s">
        <v>38</v>
      </c>
      <c r="D923" t="s">
        <v>32</v>
      </c>
      <c r="E923" t="s">
        <v>19</v>
      </c>
      <c r="F923" t="s">
        <v>20</v>
      </c>
      <c r="G923" s="3">
        <v>54267</v>
      </c>
      <c r="H923" s="3">
        <v>319579</v>
      </c>
      <c r="I923">
        <v>380</v>
      </c>
      <c r="J923" s="3">
        <v>0.97</v>
      </c>
      <c r="K923">
        <v>6.29</v>
      </c>
      <c r="L923">
        <v>1.2</v>
      </c>
      <c r="M923">
        <v>10</v>
      </c>
      <c r="N923">
        <v>1149</v>
      </c>
      <c r="O923" s="3">
        <f t="shared" si="28"/>
        <v>62352783</v>
      </c>
      <c r="P923" s="3">
        <f t="shared" si="29"/>
        <v>62033204</v>
      </c>
    </row>
    <row r="924" spans="1:16">
      <c r="A924">
        <v>2018</v>
      </c>
      <c r="B924" t="s">
        <v>29</v>
      </c>
      <c r="C924" t="s">
        <v>17</v>
      </c>
      <c r="D924" t="s">
        <v>18</v>
      </c>
      <c r="E924" t="s">
        <v>19</v>
      </c>
      <c r="F924" t="s">
        <v>20</v>
      </c>
      <c r="G924" s="3">
        <v>50696</v>
      </c>
      <c r="H924" s="3">
        <v>305095</v>
      </c>
      <c r="I924">
        <v>340</v>
      </c>
      <c r="J924" s="3">
        <v>0.97</v>
      </c>
      <c r="K924">
        <v>6.29</v>
      </c>
      <c r="L924">
        <v>1.2</v>
      </c>
      <c r="M924">
        <v>7</v>
      </c>
      <c r="N924">
        <v>898</v>
      </c>
      <c r="O924" s="3">
        <f t="shared" si="28"/>
        <v>45525008</v>
      </c>
      <c r="P924" s="3">
        <f t="shared" si="29"/>
        <v>45219913</v>
      </c>
    </row>
    <row r="925" spans="1:16">
      <c r="A925">
        <v>2023</v>
      </c>
      <c r="B925" t="s">
        <v>37</v>
      </c>
      <c r="C925" t="s">
        <v>17</v>
      </c>
      <c r="D925" t="s">
        <v>18</v>
      </c>
      <c r="E925" t="s">
        <v>19</v>
      </c>
      <c r="F925" t="s">
        <v>28</v>
      </c>
      <c r="G925" s="3">
        <v>64968</v>
      </c>
      <c r="H925" s="3">
        <v>382745</v>
      </c>
      <c r="I925">
        <v>203</v>
      </c>
      <c r="J925" s="3">
        <v>0.97</v>
      </c>
      <c r="K925">
        <v>6.29</v>
      </c>
      <c r="L925">
        <v>1.2</v>
      </c>
      <c r="M925">
        <v>10</v>
      </c>
      <c r="N925">
        <v>522</v>
      </c>
      <c r="O925" s="3">
        <f t="shared" si="28"/>
        <v>33913296</v>
      </c>
      <c r="P925" s="3">
        <f t="shared" si="29"/>
        <v>33530551</v>
      </c>
    </row>
    <row r="926" spans="1:16">
      <c r="A926">
        <v>2024</v>
      </c>
      <c r="B926" t="s">
        <v>37</v>
      </c>
      <c r="C926" t="s">
        <v>51</v>
      </c>
      <c r="D926" t="s">
        <v>42</v>
      </c>
      <c r="E926" t="s">
        <v>19</v>
      </c>
      <c r="F926" t="s">
        <v>24</v>
      </c>
      <c r="G926" s="3">
        <v>88364</v>
      </c>
      <c r="H926" s="3">
        <v>311176</v>
      </c>
      <c r="I926">
        <v>132</v>
      </c>
      <c r="J926" s="3">
        <v>0.97</v>
      </c>
      <c r="K926">
        <v>6.29</v>
      </c>
      <c r="L926">
        <v>1.2</v>
      </c>
      <c r="M926">
        <v>3</v>
      </c>
      <c r="N926">
        <v>411</v>
      </c>
      <c r="O926" s="3">
        <f t="shared" si="28"/>
        <v>36317604</v>
      </c>
      <c r="P926" s="3">
        <f t="shared" si="29"/>
        <v>36006428</v>
      </c>
    </row>
    <row r="927" spans="1:16">
      <c r="A927">
        <v>2023</v>
      </c>
      <c r="B927" t="s">
        <v>25</v>
      </c>
      <c r="C927" t="s">
        <v>46</v>
      </c>
      <c r="D927" t="s">
        <v>41</v>
      </c>
      <c r="E927" t="s">
        <v>23</v>
      </c>
      <c r="F927" t="s">
        <v>28</v>
      </c>
      <c r="G927" s="3">
        <v>58345</v>
      </c>
      <c r="H927" s="3">
        <v>433015</v>
      </c>
      <c r="I927">
        <v>145</v>
      </c>
      <c r="J927" s="3">
        <v>0.97</v>
      </c>
      <c r="K927">
        <v>6.29</v>
      </c>
      <c r="L927">
        <v>1.2</v>
      </c>
      <c r="M927">
        <v>8</v>
      </c>
      <c r="N927">
        <v>334</v>
      </c>
      <c r="O927" s="3">
        <f t="shared" si="28"/>
        <v>19487230</v>
      </c>
      <c r="P927" s="3">
        <f t="shared" si="29"/>
        <v>19054215</v>
      </c>
    </row>
    <row r="928" spans="1:16">
      <c r="A928">
        <v>2016</v>
      </c>
      <c r="B928" t="s">
        <v>37</v>
      </c>
      <c r="C928" t="s">
        <v>31</v>
      </c>
      <c r="D928" t="s">
        <v>39</v>
      </c>
      <c r="E928" t="s">
        <v>23</v>
      </c>
      <c r="F928" t="s">
        <v>24</v>
      </c>
      <c r="G928" s="3">
        <v>86567</v>
      </c>
      <c r="H928" s="3">
        <v>299717</v>
      </c>
      <c r="I928">
        <v>148</v>
      </c>
      <c r="J928" s="3">
        <v>0.97</v>
      </c>
      <c r="K928">
        <v>6.29</v>
      </c>
      <c r="L928">
        <v>1.2</v>
      </c>
      <c r="M928">
        <v>3</v>
      </c>
      <c r="N928">
        <v>463</v>
      </c>
      <c r="O928" s="3">
        <f t="shared" si="28"/>
        <v>40080521</v>
      </c>
      <c r="P928" s="3">
        <f t="shared" si="29"/>
        <v>39780804</v>
      </c>
    </row>
    <row r="929" spans="1:16">
      <c r="A929">
        <v>2022</v>
      </c>
      <c r="B929" t="s">
        <v>16</v>
      </c>
      <c r="C929" t="s">
        <v>34</v>
      </c>
      <c r="D929" t="s">
        <v>39</v>
      </c>
      <c r="E929" t="s">
        <v>23</v>
      </c>
      <c r="F929" t="s">
        <v>24</v>
      </c>
      <c r="G929" s="3">
        <v>96607</v>
      </c>
      <c r="H929" s="3">
        <v>184479</v>
      </c>
      <c r="I929">
        <v>238</v>
      </c>
      <c r="J929" s="3">
        <v>0.97</v>
      </c>
      <c r="K929">
        <v>6.29</v>
      </c>
      <c r="L929">
        <v>1.2</v>
      </c>
      <c r="M929">
        <v>1</v>
      </c>
      <c r="N929">
        <v>579</v>
      </c>
      <c r="O929" s="3">
        <f t="shared" si="28"/>
        <v>55935453</v>
      </c>
      <c r="P929" s="3">
        <f t="shared" si="29"/>
        <v>55750974</v>
      </c>
    </row>
    <row r="930" spans="1:16">
      <c r="A930">
        <v>2022</v>
      </c>
      <c r="B930" t="s">
        <v>16</v>
      </c>
      <c r="C930" t="s">
        <v>26</v>
      </c>
      <c r="D930" t="s">
        <v>36</v>
      </c>
      <c r="E930" t="s">
        <v>19</v>
      </c>
      <c r="F930" t="s">
        <v>28</v>
      </c>
      <c r="G930" s="3">
        <v>54385</v>
      </c>
      <c r="H930" s="3">
        <v>411087</v>
      </c>
      <c r="I930">
        <v>283</v>
      </c>
      <c r="J930" s="3">
        <v>0.97</v>
      </c>
      <c r="K930">
        <v>6.29</v>
      </c>
      <c r="L930">
        <v>1.2</v>
      </c>
      <c r="M930">
        <v>10</v>
      </c>
      <c r="N930">
        <v>881</v>
      </c>
      <c r="O930" s="3">
        <f t="shared" si="28"/>
        <v>47913185</v>
      </c>
      <c r="P930" s="3">
        <f t="shared" si="29"/>
        <v>47502098</v>
      </c>
    </row>
    <row r="931" spans="1:16">
      <c r="A931">
        <v>2021</v>
      </c>
      <c r="B931" t="s">
        <v>21</v>
      </c>
      <c r="C931" t="s">
        <v>17</v>
      </c>
      <c r="D931" t="s">
        <v>39</v>
      </c>
      <c r="E931" t="s">
        <v>23</v>
      </c>
      <c r="F931" t="s">
        <v>33</v>
      </c>
      <c r="G931" s="3">
        <v>118658</v>
      </c>
      <c r="H931" s="3">
        <v>82940</v>
      </c>
      <c r="I931">
        <v>59</v>
      </c>
      <c r="J931" s="3">
        <v>0.97</v>
      </c>
      <c r="K931">
        <v>6.29</v>
      </c>
      <c r="L931">
        <v>1.2</v>
      </c>
      <c r="M931">
        <v>5</v>
      </c>
      <c r="N931">
        <v>496</v>
      </c>
      <c r="O931" s="3">
        <f t="shared" si="28"/>
        <v>58854368</v>
      </c>
      <c r="P931" s="3">
        <f t="shared" si="29"/>
        <v>58771428</v>
      </c>
    </row>
    <row r="932" spans="1:16">
      <c r="A932">
        <v>2022</v>
      </c>
      <c r="B932" t="s">
        <v>25</v>
      </c>
      <c r="C932" t="s">
        <v>51</v>
      </c>
      <c r="D932" t="s">
        <v>39</v>
      </c>
      <c r="E932" t="s">
        <v>23</v>
      </c>
      <c r="F932" t="s">
        <v>28</v>
      </c>
      <c r="G932" s="3">
        <v>101900</v>
      </c>
      <c r="H932" s="3">
        <v>55666</v>
      </c>
      <c r="I932">
        <v>127</v>
      </c>
      <c r="J932" s="3">
        <v>0.97</v>
      </c>
      <c r="K932">
        <v>6.29</v>
      </c>
      <c r="L932">
        <v>1.2</v>
      </c>
      <c r="M932">
        <v>2</v>
      </c>
      <c r="N932">
        <v>450</v>
      </c>
      <c r="O932" s="3">
        <f t="shared" si="28"/>
        <v>45855000</v>
      </c>
      <c r="P932" s="3">
        <f t="shared" si="29"/>
        <v>45799334</v>
      </c>
    </row>
    <row r="933" spans="1:16">
      <c r="A933">
        <v>2017</v>
      </c>
      <c r="B933" t="s">
        <v>21</v>
      </c>
      <c r="C933" t="s">
        <v>51</v>
      </c>
      <c r="D933" t="s">
        <v>41</v>
      </c>
      <c r="E933" t="s">
        <v>23</v>
      </c>
      <c r="F933" t="s">
        <v>28</v>
      </c>
      <c r="G933" s="3">
        <v>103244</v>
      </c>
      <c r="H933" s="3">
        <v>349266</v>
      </c>
      <c r="I933">
        <v>211</v>
      </c>
      <c r="J933" s="3">
        <v>0.97</v>
      </c>
      <c r="K933">
        <v>6.29</v>
      </c>
      <c r="L933">
        <v>1.2</v>
      </c>
      <c r="M933">
        <v>10</v>
      </c>
      <c r="N933">
        <v>821</v>
      </c>
      <c r="O933" s="3">
        <f t="shared" si="28"/>
        <v>84763324</v>
      </c>
      <c r="P933" s="3">
        <f t="shared" si="29"/>
        <v>84414058</v>
      </c>
    </row>
    <row r="934" spans="1:16">
      <c r="A934">
        <v>2020</v>
      </c>
      <c r="B934" t="s">
        <v>25</v>
      </c>
      <c r="C934" t="s">
        <v>38</v>
      </c>
      <c r="D934" t="s">
        <v>52</v>
      </c>
      <c r="E934" t="s">
        <v>19</v>
      </c>
      <c r="F934" t="s">
        <v>20</v>
      </c>
      <c r="G934" s="3">
        <v>100425</v>
      </c>
      <c r="H934" s="3">
        <v>430791</v>
      </c>
      <c r="I934">
        <v>200</v>
      </c>
      <c r="J934" s="3">
        <v>0.97</v>
      </c>
      <c r="K934">
        <v>6.29</v>
      </c>
      <c r="L934">
        <v>1.2</v>
      </c>
      <c r="M934">
        <v>6</v>
      </c>
      <c r="N934">
        <v>827</v>
      </c>
      <c r="O934" s="3">
        <f t="shared" si="28"/>
        <v>83051475</v>
      </c>
      <c r="P934" s="3">
        <f t="shared" si="29"/>
        <v>82620684</v>
      </c>
    </row>
    <row r="935" spans="1:16">
      <c r="A935">
        <v>2015</v>
      </c>
      <c r="B935" t="s">
        <v>48</v>
      </c>
      <c r="C935" t="s">
        <v>34</v>
      </c>
      <c r="D935" t="s">
        <v>18</v>
      </c>
      <c r="E935" t="s">
        <v>19</v>
      </c>
      <c r="F935" t="s">
        <v>20</v>
      </c>
      <c r="G935" s="3">
        <v>113518</v>
      </c>
      <c r="H935" s="3">
        <v>206164</v>
      </c>
      <c r="I935">
        <v>373</v>
      </c>
      <c r="J935" s="3">
        <v>0.97</v>
      </c>
      <c r="K935">
        <v>6.29</v>
      </c>
      <c r="L935">
        <v>1.2</v>
      </c>
      <c r="M935">
        <v>10</v>
      </c>
      <c r="N935">
        <v>1156</v>
      </c>
      <c r="O935" s="3">
        <f t="shared" si="28"/>
        <v>131226808</v>
      </c>
      <c r="P935" s="3">
        <f t="shared" si="29"/>
        <v>131020644</v>
      </c>
    </row>
    <row r="936" spans="1:16">
      <c r="A936">
        <v>2021</v>
      </c>
      <c r="B936" t="s">
        <v>25</v>
      </c>
      <c r="C936" t="s">
        <v>44</v>
      </c>
      <c r="D936" t="s">
        <v>18</v>
      </c>
      <c r="E936" t="s">
        <v>19</v>
      </c>
      <c r="F936" t="s">
        <v>28</v>
      </c>
      <c r="G936" s="3">
        <v>117844</v>
      </c>
      <c r="H936" s="3">
        <v>441897</v>
      </c>
      <c r="I936">
        <v>332</v>
      </c>
      <c r="J936" s="3">
        <v>0.97</v>
      </c>
      <c r="K936">
        <v>6.29</v>
      </c>
      <c r="L936">
        <v>1.2</v>
      </c>
      <c r="M936">
        <v>9</v>
      </c>
      <c r="N936">
        <v>738</v>
      </c>
      <c r="O936" s="3">
        <f t="shared" si="28"/>
        <v>86968872</v>
      </c>
      <c r="P936" s="3">
        <f t="shared" si="29"/>
        <v>86526975</v>
      </c>
    </row>
    <row r="937" spans="1:16">
      <c r="A937">
        <v>2015</v>
      </c>
      <c r="B937" t="s">
        <v>29</v>
      </c>
      <c r="C937" t="s">
        <v>31</v>
      </c>
      <c r="D937" t="s">
        <v>27</v>
      </c>
      <c r="E937" t="s">
        <v>23</v>
      </c>
      <c r="F937" t="s">
        <v>28</v>
      </c>
      <c r="G937" s="3">
        <v>67919</v>
      </c>
      <c r="H937" s="3">
        <v>435546</v>
      </c>
      <c r="I937">
        <v>190</v>
      </c>
      <c r="J937" s="3">
        <v>0.97</v>
      </c>
      <c r="K937">
        <v>6.29</v>
      </c>
      <c r="L937">
        <v>1.2</v>
      </c>
      <c r="M937">
        <v>1</v>
      </c>
      <c r="N937">
        <v>600</v>
      </c>
      <c r="O937" s="3">
        <f t="shared" si="28"/>
        <v>40751400</v>
      </c>
      <c r="P937" s="3">
        <f t="shared" si="29"/>
        <v>40315854</v>
      </c>
    </row>
    <row r="938" spans="1:16">
      <c r="A938">
        <v>2023</v>
      </c>
      <c r="B938" t="s">
        <v>35</v>
      </c>
      <c r="C938" t="s">
        <v>46</v>
      </c>
      <c r="D938" t="s">
        <v>39</v>
      </c>
      <c r="E938" t="s">
        <v>23</v>
      </c>
      <c r="F938" t="s">
        <v>20</v>
      </c>
      <c r="G938" s="3">
        <v>92196</v>
      </c>
      <c r="H938" s="3">
        <v>256717</v>
      </c>
      <c r="I938">
        <v>87</v>
      </c>
      <c r="J938" s="3">
        <v>0.97</v>
      </c>
      <c r="K938">
        <v>6.29</v>
      </c>
      <c r="L938">
        <v>1.2</v>
      </c>
      <c r="M938">
        <v>4</v>
      </c>
      <c r="N938">
        <v>566</v>
      </c>
      <c r="O938" s="3">
        <f t="shared" si="28"/>
        <v>52182936</v>
      </c>
      <c r="P938" s="3">
        <f t="shared" si="29"/>
        <v>51926219</v>
      </c>
    </row>
    <row r="939" spans="1:16">
      <c r="A939">
        <v>2015</v>
      </c>
      <c r="B939" t="s">
        <v>53</v>
      </c>
      <c r="C939" t="s">
        <v>40</v>
      </c>
      <c r="D939" t="s">
        <v>41</v>
      </c>
      <c r="E939" t="s">
        <v>23</v>
      </c>
      <c r="F939" t="s">
        <v>24</v>
      </c>
      <c r="G939" s="3">
        <v>114401</v>
      </c>
      <c r="H939" s="3">
        <v>413334</v>
      </c>
      <c r="I939">
        <v>84</v>
      </c>
      <c r="J939" s="3">
        <v>0.97</v>
      </c>
      <c r="K939">
        <v>6.29</v>
      </c>
      <c r="L939">
        <v>1.2</v>
      </c>
      <c r="M939">
        <v>1</v>
      </c>
      <c r="N939">
        <v>268</v>
      </c>
      <c r="O939" s="3">
        <f t="shared" si="28"/>
        <v>30659468</v>
      </c>
      <c r="P939" s="3">
        <f t="shared" si="29"/>
        <v>30246134</v>
      </c>
    </row>
    <row r="940" spans="1:16">
      <c r="A940">
        <v>2015</v>
      </c>
      <c r="B940" t="s">
        <v>53</v>
      </c>
      <c r="C940" t="s">
        <v>38</v>
      </c>
      <c r="D940" t="s">
        <v>18</v>
      </c>
      <c r="E940" t="s">
        <v>19</v>
      </c>
      <c r="F940" t="s">
        <v>28</v>
      </c>
      <c r="G940" s="3">
        <v>35495</v>
      </c>
      <c r="H940" s="3">
        <v>412612</v>
      </c>
      <c r="I940">
        <v>304</v>
      </c>
      <c r="J940" s="3">
        <v>0.97</v>
      </c>
      <c r="K940">
        <v>6.29</v>
      </c>
      <c r="L940">
        <v>1.2</v>
      </c>
      <c r="M940">
        <v>1</v>
      </c>
      <c r="N940">
        <v>973</v>
      </c>
      <c r="O940" s="3">
        <f t="shared" si="28"/>
        <v>34536635</v>
      </c>
      <c r="P940" s="3">
        <f t="shared" si="29"/>
        <v>34124023</v>
      </c>
    </row>
    <row r="941" spans="1:16">
      <c r="A941">
        <v>2021</v>
      </c>
      <c r="B941" t="s">
        <v>47</v>
      </c>
      <c r="C941" t="s">
        <v>31</v>
      </c>
      <c r="D941" t="s">
        <v>41</v>
      </c>
      <c r="E941" t="s">
        <v>23</v>
      </c>
      <c r="F941" t="s">
        <v>33</v>
      </c>
      <c r="G941" s="3">
        <v>79755</v>
      </c>
      <c r="H941" s="3">
        <v>441351</v>
      </c>
      <c r="I941">
        <v>290</v>
      </c>
      <c r="J941" s="3">
        <v>0.97</v>
      </c>
      <c r="K941">
        <v>6.29</v>
      </c>
      <c r="L941">
        <v>1.2</v>
      </c>
      <c r="M941">
        <v>8</v>
      </c>
      <c r="N941">
        <v>602</v>
      </c>
      <c r="O941" s="3">
        <f t="shared" si="28"/>
        <v>48012510</v>
      </c>
      <c r="P941" s="3">
        <f t="shared" si="29"/>
        <v>47571159</v>
      </c>
    </row>
    <row r="942" spans="1:16">
      <c r="A942">
        <v>2016</v>
      </c>
      <c r="B942" t="s">
        <v>37</v>
      </c>
      <c r="C942" t="s">
        <v>40</v>
      </c>
      <c r="D942" t="s">
        <v>22</v>
      </c>
      <c r="E942" t="s">
        <v>23</v>
      </c>
      <c r="F942" t="s">
        <v>33</v>
      </c>
      <c r="G942" s="3">
        <v>102684</v>
      </c>
      <c r="H942" s="3">
        <v>76505</v>
      </c>
      <c r="I942">
        <v>30</v>
      </c>
      <c r="J942" s="3">
        <v>0.97</v>
      </c>
      <c r="K942">
        <v>6.29</v>
      </c>
      <c r="L942">
        <v>1.2</v>
      </c>
      <c r="M942">
        <v>2</v>
      </c>
      <c r="N942">
        <v>336</v>
      </c>
      <c r="O942" s="3">
        <f t="shared" si="28"/>
        <v>34501824</v>
      </c>
      <c r="P942" s="3">
        <f t="shared" si="29"/>
        <v>34425319</v>
      </c>
    </row>
    <row r="943" spans="1:16">
      <c r="A943">
        <v>2019</v>
      </c>
      <c r="B943" t="s">
        <v>35</v>
      </c>
      <c r="C943" t="s">
        <v>40</v>
      </c>
      <c r="D943" t="s">
        <v>52</v>
      </c>
      <c r="E943" t="s">
        <v>19</v>
      </c>
      <c r="F943" t="s">
        <v>33</v>
      </c>
      <c r="G943" s="3">
        <v>68324</v>
      </c>
      <c r="H943" s="3">
        <v>86713</v>
      </c>
      <c r="I943">
        <v>180</v>
      </c>
      <c r="J943" s="3">
        <v>0.97</v>
      </c>
      <c r="K943">
        <v>6.29</v>
      </c>
      <c r="L943">
        <v>1.2</v>
      </c>
      <c r="M943">
        <v>1</v>
      </c>
      <c r="N943">
        <v>636</v>
      </c>
      <c r="O943" s="3">
        <f t="shared" si="28"/>
        <v>43454064</v>
      </c>
      <c r="P943" s="3">
        <f t="shared" si="29"/>
        <v>43367351</v>
      </c>
    </row>
    <row r="944" spans="1:16">
      <c r="A944">
        <v>2022</v>
      </c>
      <c r="B944" t="s">
        <v>43</v>
      </c>
      <c r="C944" t="s">
        <v>34</v>
      </c>
      <c r="D944" t="s">
        <v>39</v>
      </c>
      <c r="E944" t="s">
        <v>23</v>
      </c>
      <c r="F944" t="s">
        <v>28</v>
      </c>
      <c r="G944" s="3">
        <v>113929</v>
      </c>
      <c r="H944" s="3">
        <v>497603</v>
      </c>
      <c r="I944">
        <v>24</v>
      </c>
      <c r="J944" s="3">
        <v>0.97</v>
      </c>
      <c r="K944">
        <v>6.29</v>
      </c>
      <c r="L944">
        <v>1.2</v>
      </c>
      <c r="M944">
        <v>8</v>
      </c>
      <c r="N944">
        <v>324</v>
      </c>
      <c r="O944" s="3">
        <f t="shared" si="28"/>
        <v>36912996</v>
      </c>
      <c r="P944" s="3">
        <f t="shared" si="29"/>
        <v>36415393</v>
      </c>
    </row>
    <row r="945" spans="1:16">
      <c r="A945">
        <v>2022</v>
      </c>
      <c r="B945" t="s">
        <v>16</v>
      </c>
      <c r="C945" t="s">
        <v>34</v>
      </c>
      <c r="D945" t="s">
        <v>27</v>
      </c>
      <c r="E945" t="s">
        <v>23</v>
      </c>
      <c r="F945" t="s">
        <v>24</v>
      </c>
      <c r="G945" s="3">
        <v>36552</v>
      </c>
      <c r="H945" s="3">
        <v>355313</v>
      </c>
      <c r="I945">
        <v>220</v>
      </c>
      <c r="J945" s="3">
        <v>0.97</v>
      </c>
      <c r="K945">
        <v>6.29</v>
      </c>
      <c r="L945">
        <v>1.2</v>
      </c>
      <c r="M945">
        <v>4</v>
      </c>
      <c r="N945">
        <v>724</v>
      </c>
      <c r="O945" s="3">
        <f t="shared" si="28"/>
        <v>26463648</v>
      </c>
      <c r="P945" s="3">
        <f t="shared" si="29"/>
        <v>26108335</v>
      </c>
    </row>
    <row r="946" spans="1:16">
      <c r="A946">
        <v>2017</v>
      </c>
      <c r="B946" t="s">
        <v>50</v>
      </c>
      <c r="C946" t="s">
        <v>26</v>
      </c>
      <c r="D946" t="s">
        <v>36</v>
      </c>
      <c r="E946" t="s">
        <v>19</v>
      </c>
      <c r="F946" t="s">
        <v>24</v>
      </c>
      <c r="G946" s="3">
        <v>86272</v>
      </c>
      <c r="H946" s="3">
        <v>254354</v>
      </c>
      <c r="I946">
        <v>57</v>
      </c>
      <c r="J946" s="3">
        <v>0.97</v>
      </c>
      <c r="K946">
        <v>6.29</v>
      </c>
      <c r="L946">
        <v>1.2</v>
      </c>
      <c r="M946">
        <v>3</v>
      </c>
      <c r="N946">
        <v>150</v>
      </c>
      <c r="O946" s="3">
        <f t="shared" si="28"/>
        <v>12940800</v>
      </c>
      <c r="P946" s="3">
        <f t="shared" si="29"/>
        <v>12686446</v>
      </c>
    </row>
    <row r="947" spans="1:16">
      <c r="A947">
        <v>2021</v>
      </c>
      <c r="B947" t="s">
        <v>49</v>
      </c>
      <c r="C947" t="s">
        <v>51</v>
      </c>
      <c r="D947" t="s">
        <v>18</v>
      </c>
      <c r="E947" t="s">
        <v>19</v>
      </c>
      <c r="F947" t="s">
        <v>20</v>
      </c>
      <c r="G947" s="3">
        <v>70853</v>
      </c>
      <c r="H947" s="3">
        <v>127511</v>
      </c>
      <c r="I947">
        <v>95</v>
      </c>
      <c r="J947" s="3">
        <v>0.97</v>
      </c>
      <c r="K947">
        <v>6.29</v>
      </c>
      <c r="L947">
        <v>1.2</v>
      </c>
      <c r="M947">
        <v>4</v>
      </c>
      <c r="N947">
        <v>429</v>
      </c>
      <c r="O947" s="3">
        <f t="shared" si="28"/>
        <v>30395937</v>
      </c>
      <c r="P947" s="3">
        <f t="shared" si="29"/>
        <v>30268426</v>
      </c>
    </row>
    <row r="948" spans="1:16">
      <c r="A948">
        <v>2017</v>
      </c>
      <c r="B948" t="s">
        <v>48</v>
      </c>
      <c r="C948" t="s">
        <v>31</v>
      </c>
      <c r="D948" t="s">
        <v>22</v>
      </c>
      <c r="E948" t="s">
        <v>23</v>
      </c>
      <c r="F948" t="s">
        <v>28</v>
      </c>
      <c r="G948" s="3">
        <v>67924</v>
      </c>
      <c r="H948" s="3">
        <v>494958</v>
      </c>
      <c r="I948">
        <v>158</v>
      </c>
      <c r="J948" s="3">
        <v>0.97</v>
      </c>
      <c r="K948">
        <v>6.29</v>
      </c>
      <c r="L948">
        <v>1.2</v>
      </c>
      <c r="M948">
        <v>5</v>
      </c>
      <c r="N948">
        <v>576</v>
      </c>
      <c r="O948" s="3">
        <f t="shared" si="28"/>
        <v>39124224</v>
      </c>
      <c r="P948" s="3">
        <f t="shared" si="29"/>
        <v>38629266</v>
      </c>
    </row>
    <row r="949" spans="1:16">
      <c r="A949">
        <v>2020</v>
      </c>
      <c r="B949" t="s">
        <v>37</v>
      </c>
      <c r="C949" t="s">
        <v>38</v>
      </c>
      <c r="D949" t="s">
        <v>41</v>
      </c>
      <c r="E949" t="s">
        <v>23</v>
      </c>
      <c r="F949" t="s">
        <v>24</v>
      </c>
      <c r="G949" s="3">
        <v>109462</v>
      </c>
      <c r="H949" s="3">
        <v>352666</v>
      </c>
      <c r="I949">
        <v>197</v>
      </c>
      <c r="J949" s="3">
        <v>0.97</v>
      </c>
      <c r="K949">
        <v>6.29</v>
      </c>
      <c r="L949">
        <v>1.2</v>
      </c>
      <c r="M949">
        <v>1</v>
      </c>
      <c r="N949">
        <v>744</v>
      </c>
      <c r="O949" s="3">
        <f t="shared" si="28"/>
        <v>81439728</v>
      </c>
      <c r="P949" s="3">
        <f t="shared" si="29"/>
        <v>81087062</v>
      </c>
    </row>
    <row r="950" spans="1:16">
      <c r="A950">
        <v>2020</v>
      </c>
      <c r="B950" t="s">
        <v>37</v>
      </c>
      <c r="C950" t="s">
        <v>45</v>
      </c>
      <c r="D950" t="s">
        <v>32</v>
      </c>
      <c r="E950" t="s">
        <v>19</v>
      </c>
      <c r="F950" t="s">
        <v>28</v>
      </c>
      <c r="G950" s="3">
        <v>58889</v>
      </c>
      <c r="H950" s="3">
        <v>262204</v>
      </c>
      <c r="I950">
        <v>381</v>
      </c>
      <c r="J950" s="3">
        <v>0.97</v>
      </c>
      <c r="K950">
        <v>6.29</v>
      </c>
      <c r="L950">
        <v>1.2</v>
      </c>
      <c r="M950">
        <v>1</v>
      </c>
      <c r="N950">
        <v>819</v>
      </c>
      <c r="O950" s="3">
        <f t="shared" si="28"/>
        <v>48230091</v>
      </c>
      <c r="P950" s="3">
        <f t="shared" si="29"/>
        <v>47967887</v>
      </c>
    </row>
    <row r="951" spans="1:16">
      <c r="A951">
        <v>2017</v>
      </c>
      <c r="B951" t="s">
        <v>29</v>
      </c>
      <c r="C951" t="s">
        <v>38</v>
      </c>
      <c r="D951" t="s">
        <v>30</v>
      </c>
      <c r="E951" t="s">
        <v>23</v>
      </c>
      <c r="F951" t="s">
        <v>20</v>
      </c>
      <c r="G951" s="3">
        <v>89675</v>
      </c>
      <c r="H951" s="3">
        <v>300694</v>
      </c>
      <c r="I951">
        <v>315</v>
      </c>
      <c r="J951" s="3">
        <v>0.97</v>
      </c>
      <c r="K951">
        <v>6.29</v>
      </c>
      <c r="L951">
        <v>1.2</v>
      </c>
      <c r="M951">
        <v>3</v>
      </c>
      <c r="N951">
        <v>1029</v>
      </c>
      <c r="O951" s="3">
        <f t="shared" si="28"/>
        <v>92275575</v>
      </c>
      <c r="P951" s="3">
        <f t="shared" si="29"/>
        <v>91974881</v>
      </c>
    </row>
    <row r="952" spans="1:16">
      <c r="A952">
        <v>2021</v>
      </c>
      <c r="B952" t="s">
        <v>37</v>
      </c>
      <c r="C952" t="s">
        <v>26</v>
      </c>
      <c r="D952" t="s">
        <v>39</v>
      </c>
      <c r="E952" t="s">
        <v>23</v>
      </c>
      <c r="F952" t="s">
        <v>20</v>
      </c>
      <c r="G952" s="3">
        <v>108591</v>
      </c>
      <c r="H952" s="3">
        <v>299836</v>
      </c>
      <c r="I952">
        <v>160</v>
      </c>
      <c r="J952" s="3">
        <v>0.97</v>
      </c>
      <c r="K952">
        <v>6.29</v>
      </c>
      <c r="L952">
        <v>1.2</v>
      </c>
      <c r="M952">
        <v>6</v>
      </c>
      <c r="N952">
        <v>403</v>
      </c>
      <c r="O952" s="3">
        <f t="shared" si="28"/>
        <v>43762173</v>
      </c>
      <c r="P952" s="3">
        <f t="shared" si="29"/>
        <v>43462337</v>
      </c>
    </row>
    <row r="953" spans="1:16">
      <c r="A953">
        <v>2017</v>
      </c>
      <c r="B953" t="s">
        <v>16</v>
      </c>
      <c r="C953" t="s">
        <v>46</v>
      </c>
      <c r="D953" t="s">
        <v>39</v>
      </c>
      <c r="E953" t="s">
        <v>23</v>
      </c>
      <c r="F953" t="s">
        <v>20</v>
      </c>
      <c r="G953" s="3">
        <v>105190</v>
      </c>
      <c r="H953" s="3">
        <v>284561</v>
      </c>
      <c r="I953">
        <v>150</v>
      </c>
      <c r="J953" s="3">
        <v>0.97</v>
      </c>
      <c r="K953">
        <v>6.29</v>
      </c>
      <c r="L953">
        <v>1.2</v>
      </c>
      <c r="M953">
        <v>1</v>
      </c>
      <c r="N953">
        <v>515</v>
      </c>
      <c r="O953" s="3">
        <f t="shared" si="28"/>
        <v>54172850</v>
      </c>
      <c r="P953" s="3">
        <f t="shared" si="29"/>
        <v>53888289</v>
      </c>
    </row>
    <row r="954" spans="1:16">
      <c r="A954">
        <v>2022</v>
      </c>
      <c r="B954" t="s">
        <v>16</v>
      </c>
      <c r="C954" t="s">
        <v>51</v>
      </c>
      <c r="D954" t="s">
        <v>22</v>
      </c>
      <c r="E954" t="s">
        <v>23</v>
      </c>
      <c r="F954" t="s">
        <v>33</v>
      </c>
      <c r="G954" s="3">
        <v>57634</v>
      </c>
      <c r="H954" s="3">
        <v>411541</v>
      </c>
      <c r="I954">
        <v>78</v>
      </c>
      <c r="J954" s="3">
        <v>0.97</v>
      </c>
      <c r="K954">
        <v>6.29</v>
      </c>
      <c r="L954">
        <v>1.2</v>
      </c>
      <c r="M954">
        <v>2</v>
      </c>
      <c r="N954">
        <v>557</v>
      </c>
      <c r="O954" s="3">
        <f t="shared" si="28"/>
        <v>32102138</v>
      </c>
      <c r="P954" s="3">
        <f t="shared" si="29"/>
        <v>31690597</v>
      </c>
    </row>
    <row r="955" spans="1:16">
      <c r="A955">
        <v>2024</v>
      </c>
      <c r="B955" t="s">
        <v>49</v>
      </c>
      <c r="C955" t="s">
        <v>45</v>
      </c>
      <c r="D955" t="s">
        <v>41</v>
      </c>
      <c r="E955" t="s">
        <v>23</v>
      </c>
      <c r="F955" t="s">
        <v>28</v>
      </c>
      <c r="G955" s="3">
        <v>67363</v>
      </c>
      <c r="H955" s="3">
        <v>53880</v>
      </c>
      <c r="I955">
        <v>269</v>
      </c>
      <c r="J955" s="3">
        <v>0.97</v>
      </c>
      <c r="K955">
        <v>6.29</v>
      </c>
      <c r="L955">
        <v>1.2</v>
      </c>
      <c r="M955">
        <v>7</v>
      </c>
      <c r="N955">
        <v>607</v>
      </c>
      <c r="O955" s="3">
        <f t="shared" si="28"/>
        <v>40889341</v>
      </c>
      <c r="P955" s="3">
        <f t="shared" si="29"/>
        <v>40835461</v>
      </c>
    </row>
    <row r="956" spans="1:16">
      <c r="A956">
        <v>2018</v>
      </c>
      <c r="B956" t="s">
        <v>25</v>
      </c>
      <c r="C956" t="s">
        <v>17</v>
      </c>
      <c r="D956" t="s">
        <v>42</v>
      </c>
      <c r="E956" t="s">
        <v>19</v>
      </c>
      <c r="F956" t="s">
        <v>20</v>
      </c>
      <c r="G956" s="3">
        <v>98752</v>
      </c>
      <c r="H956" s="3">
        <v>486670</v>
      </c>
      <c r="I956">
        <v>343</v>
      </c>
      <c r="J956" s="3">
        <v>0.97</v>
      </c>
      <c r="K956">
        <v>6.29</v>
      </c>
      <c r="L956">
        <v>1.2</v>
      </c>
      <c r="M956">
        <v>1</v>
      </c>
      <c r="N956">
        <v>1116</v>
      </c>
      <c r="O956" s="3">
        <f t="shared" si="28"/>
        <v>110207232</v>
      </c>
      <c r="P956" s="3">
        <f t="shared" si="29"/>
        <v>109720562</v>
      </c>
    </row>
    <row r="957" spans="1:16">
      <c r="A957">
        <v>2015</v>
      </c>
      <c r="B957" t="s">
        <v>43</v>
      </c>
      <c r="C957" t="s">
        <v>46</v>
      </c>
      <c r="D957" t="s">
        <v>39</v>
      </c>
      <c r="E957" t="s">
        <v>23</v>
      </c>
      <c r="F957" t="s">
        <v>28</v>
      </c>
      <c r="G957" s="3">
        <v>112004</v>
      </c>
      <c r="H957" s="3">
        <v>498927</v>
      </c>
      <c r="I957">
        <v>18</v>
      </c>
      <c r="J957" s="3">
        <v>0.97</v>
      </c>
      <c r="K957">
        <v>6.29</v>
      </c>
      <c r="L957">
        <v>1.2</v>
      </c>
      <c r="M957">
        <v>7</v>
      </c>
      <c r="N957">
        <v>130</v>
      </c>
      <c r="O957" s="3">
        <f t="shared" si="28"/>
        <v>14560520</v>
      </c>
      <c r="P957" s="3">
        <f t="shared" si="29"/>
        <v>14061593</v>
      </c>
    </row>
    <row r="958" spans="1:16">
      <c r="A958">
        <v>2018</v>
      </c>
      <c r="B958" t="s">
        <v>35</v>
      </c>
      <c r="C958" t="s">
        <v>34</v>
      </c>
      <c r="D958" t="s">
        <v>42</v>
      </c>
      <c r="E958" t="s">
        <v>19</v>
      </c>
      <c r="F958" t="s">
        <v>33</v>
      </c>
      <c r="G958" s="3">
        <v>91398</v>
      </c>
      <c r="H958" s="3">
        <v>93539</v>
      </c>
      <c r="I958">
        <v>130</v>
      </c>
      <c r="J958" s="3">
        <v>0.97</v>
      </c>
      <c r="K958">
        <v>6.29</v>
      </c>
      <c r="L958">
        <v>1.2</v>
      </c>
      <c r="M958">
        <v>4</v>
      </c>
      <c r="N958">
        <v>559</v>
      </c>
      <c r="O958" s="3">
        <f t="shared" si="28"/>
        <v>51091482</v>
      </c>
      <c r="P958" s="3">
        <f t="shared" si="29"/>
        <v>50997943</v>
      </c>
    </row>
    <row r="959" spans="1:16">
      <c r="A959">
        <v>2021</v>
      </c>
      <c r="B959" t="s">
        <v>37</v>
      </c>
      <c r="C959" t="s">
        <v>40</v>
      </c>
      <c r="D959" t="s">
        <v>32</v>
      </c>
      <c r="E959" t="s">
        <v>19</v>
      </c>
      <c r="F959" t="s">
        <v>33</v>
      </c>
      <c r="G959" s="3">
        <v>75718</v>
      </c>
      <c r="H959" s="3">
        <v>290056</v>
      </c>
      <c r="I959">
        <v>380</v>
      </c>
      <c r="J959" s="3">
        <v>0.97</v>
      </c>
      <c r="K959">
        <v>6.29</v>
      </c>
      <c r="L959">
        <v>1.2</v>
      </c>
      <c r="M959">
        <v>10</v>
      </c>
      <c r="N959">
        <v>1088</v>
      </c>
      <c r="O959" s="3">
        <f t="shared" si="28"/>
        <v>82381184</v>
      </c>
      <c r="P959" s="3">
        <f t="shared" si="29"/>
        <v>82091128</v>
      </c>
    </row>
    <row r="960" spans="1:16">
      <c r="A960">
        <v>2018</v>
      </c>
      <c r="B960" t="s">
        <v>53</v>
      </c>
      <c r="C960" t="s">
        <v>17</v>
      </c>
      <c r="D960" t="s">
        <v>22</v>
      </c>
      <c r="E960" t="s">
        <v>23</v>
      </c>
      <c r="F960" t="s">
        <v>20</v>
      </c>
      <c r="G960" s="3">
        <v>117916</v>
      </c>
      <c r="H960" s="3">
        <v>269057</v>
      </c>
      <c r="I960">
        <v>110</v>
      </c>
      <c r="J960" s="3">
        <v>0.97</v>
      </c>
      <c r="K960">
        <v>6.29</v>
      </c>
      <c r="L960">
        <v>1.2</v>
      </c>
      <c r="M960">
        <v>6</v>
      </c>
      <c r="N960">
        <v>360</v>
      </c>
      <c r="O960" s="3">
        <f t="shared" si="28"/>
        <v>42449760</v>
      </c>
      <c r="P960" s="3">
        <f t="shared" si="29"/>
        <v>42180703</v>
      </c>
    </row>
    <row r="961" spans="1:16">
      <c r="A961">
        <v>2020</v>
      </c>
      <c r="B961" t="s">
        <v>21</v>
      </c>
      <c r="C961" t="s">
        <v>38</v>
      </c>
      <c r="D961" t="s">
        <v>41</v>
      </c>
      <c r="E961" t="s">
        <v>23</v>
      </c>
      <c r="F961" t="s">
        <v>20</v>
      </c>
      <c r="G961" s="3">
        <v>61870</v>
      </c>
      <c r="H961" s="3">
        <v>64799</v>
      </c>
      <c r="I961">
        <v>158</v>
      </c>
      <c r="J961" s="3">
        <v>0.97</v>
      </c>
      <c r="K961">
        <v>6.29</v>
      </c>
      <c r="L961">
        <v>1.2</v>
      </c>
      <c r="M961">
        <v>8</v>
      </c>
      <c r="N961">
        <v>740</v>
      </c>
      <c r="O961" s="3">
        <f t="shared" si="28"/>
        <v>45783800</v>
      </c>
      <c r="P961" s="3">
        <f t="shared" si="29"/>
        <v>45719001</v>
      </c>
    </row>
    <row r="962" spans="1:16">
      <c r="A962">
        <v>2023</v>
      </c>
      <c r="B962" t="s">
        <v>29</v>
      </c>
      <c r="C962" t="s">
        <v>38</v>
      </c>
      <c r="D962" t="s">
        <v>41</v>
      </c>
      <c r="E962" t="s">
        <v>23</v>
      </c>
      <c r="F962" t="s">
        <v>24</v>
      </c>
      <c r="G962" s="3">
        <v>72394</v>
      </c>
      <c r="H962" s="3">
        <v>154843</v>
      </c>
      <c r="I962">
        <v>155</v>
      </c>
      <c r="J962" s="3">
        <v>0.97</v>
      </c>
      <c r="K962">
        <v>6.29</v>
      </c>
      <c r="L962">
        <v>1.2</v>
      </c>
      <c r="M962">
        <v>9</v>
      </c>
      <c r="N962">
        <v>521</v>
      </c>
      <c r="O962" s="3">
        <f t="shared" si="28"/>
        <v>37717274</v>
      </c>
      <c r="P962" s="3">
        <f t="shared" si="29"/>
        <v>37562431</v>
      </c>
    </row>
    <row r="963" spans="1:16">
      <c r="A963">
        <v>2015</v>
      </c>
      <c r="B963" t="s">
        <v>29</v>
      </c>
      <c r="C963" t="s">
        <v>34</v>
      </c>
      <c r="D963" t="s">
        <v>52</v>
      </c>
      <c r="E963" t="s">
        <v>19</v>
      </c>
      <c r="F963" t="s">
        <v>28</v>
      </c>
      <c r="G963" s="3">
        <v>87057</v>
      </c>
      <c r="H963" s="3">
        <v>493942</v>
      </c>
      <c r="I963">
        <v>362</v>
      </c>
      <c r="J963" s="3">
        <v>0.97</v>
      </c>
      <c r="K963">
        <v>6.29</v>
      </c>
      <c r="L963">
        <v>1.2</v>
      </c>
      <c r="M963">
        <v>6</v>
      </c>
      <c r="N963">
        <v>1196</v>
      </c>
      <c r="O963" s="3">
        <f t="shared" ref="O963:O1001" si="30">N963*G963</f>
        <v>104120172</v>
      </c>
      <c r="P963" s="3">
        <f t="shared" ref="P963:P1001" si="31">O963-H963</f>
        <v>103626230</v>
      </c>
    </row>
    <row r="964" spans="1:16">
      <c r="A964">
        <v>2019</v>
      </c>
      <c r="B964" t="s">
        <v>53</v>
      </c>
      <c r="C964" t="s">
        <v>26</v>
      </c>
      <c r="D964" t="s">
        <v>30</v>
      </c>
      <c r="E964" t="s">
        <v>23</v>
      </c>
      <c r="F964" t="s">
        <v>20</v>
      </c>
      <c r="G964" s="3">
        <v>114795</v>
      </c>
      <c r="H964" s="3">
        <v>98784</v>
      </c>
      <c r="I964">
        <v>252</v>
      </c>
      <c r="J964" s="3">
        <v>0.97</v>
      </c>
      <c r="K964">
        <v>6.29</v>
      </c>
      <c r="L964">
        <v>1.2</v>
      </c>
      <c r="M964">
        <v>9</v>
      </c>
      <c r="N964">
        <v>724</v>
      </c>
      <c r="O964" s="3">
        <f t="shared" si="30"/>
        <v>83111580</v>
      </c>
      <c r="P964" s="3">
        <f t="shared" si="31"/>
        <v>83012796</v>
      </c>
    </row>
    <row r="965" spans="1:16">
      <c r="A965">
        <v>2021</v>
      </c>
      <c r="B965" t="s">
        <v>47</v>
      </c>
      <c r="C965" t="s">
        <v>31</v>
      </c>
      <c r="D965" t="s">
        <v>18</v>
      </c>
      <c r="E965" t="s">
        <v>19</v>
      </c>
      <c r="F965" t="s">
        <v>24</v>
      </c>
      <c r="G965" s="3">
        <v>115409</v>
      </c>
      <c r="H965" s="3">
        <v>163034</v>
      </c>
      <c r="I965">
        <v>250</v>
      </c>
      <c r="J965" s="3">
        <v>0.97</v>
      </c>
      <c r="K965">
        <v>6.29</v>
      </c>
      <c r="L965">
        <v>1.2</v>
      </c>
      <c r="M965">
        <v>4</v>
      </c>
      <c r="N965">
        <v>710</v>
      </c>
      <c r="O965" s="3">
        <f t="shared" si="30"/>
        <v>81940390</v>
      </c>
      <c r="P965" s="3">
        <f t="shared" si="31"/>
        <v>81777356</v>
      </c>
    </row>
    <row r="966" spans="1:16">
      <c r="A966">
        <v>2015</v>
      </c>
      <c r="B966" t="s">
        <v>53</v>
      </c>
      <c r="C966" t="s">
        <v>17</v>
      </c>
      <c r="D966" t="s">
        <v>18</v>
      </c>
      <c r="E966" t="s">
        <v>19</v>
      </c>
      <c r="F966" t="s">
        <v>28</v>
      </c>
      <c r="G966" s="3">
        <v>48016</v>
      </c>
      <c r="H966" s="3">
        <v>486549</v>
      </c>
      <c r="I966">
        <v>346</v>
      </c>
      <c r="J966" s="3">
        <v>0.97</v>
      </c>
      <c r="K966">
        <v>6.29</v>
      </c>
      <c r="L966">
        <v>1.2</v>
      </c>
      <c r="M966">
        <v>6</v>
      </c>
      <c r="N966">
        <v>1156</v>
      </c>
      <c r="O966" s="3">
        <f t="shared" si="30"/>
        <v>55506496</v>
      </c>
      <c r="P966" s="3">
        <f t="shared" si="31"/>
        <v>55019947</v>
      </c>
    </row>
    <row r="967" spans="1:16">
      <c r="A967">
        <v>2018</v>
      </c>
      <c r="B967" t="s">
        <v>47</v>
      </c>
      <c r="C967" t="s">
        <v>17</v>
      </c>
      <c r="D967" t="s">
        <v>36</v>
      </c>
      <c r="E967" t="s">
        <v>19</v>
      </c>
      <c r="F967" t="s">
        <v>20</v>
      </c>
      <c r="G967" s="3">
        <v>77137</v>
      </c>
      <c r="H967" s="3">
        <v>484044</v>
      </c>
      <c r="I967">
        <v>52</v>
      </c>
      <c r="J967" s="3">
        <v>0.97</v>
      </c>
      <c r="K967">
        <v>6.29</v>
      </c>
      <c r="L967">
        <v>1.2</v>
      </c>
      <c r="M967">
        <v>8</v>
      </c>
      <c r="N967">
        <v>243</v>
      </c>
      <c r="O967" s="3">
        <f t="shared" si="30"/>
        <v>18744291</v>
      </c>
      <c r="P967" s="3">
        <f t="shared" si="31"/>
        <v>18260247</v>
      </c>
    </row>
    <row r="968" spans="1:16">
      <c r="A968">
        <v>2020</v>
      </c>
      <c r="B968" t="s">
        <v>50</v>
      </c>
      <c r="C968" t="s">
        <v>44</v>
      </c>
      <c r="D968" t="s">
        <v>27</v>
      </c>
      <c r="E968" t="s">
        <v>23</v>
      </c>
      <c r="F968" t="s">
        <v>24</v>
      </c>
      <c r="G968" s="3">
        <v>35153</v>
      </c>
      <c r="H968" s="3">
        <v>250598</v>
      </c>
      <c r="I968">
        <v>104</v>
      </c>
      <c r="J968" s="3">
        <v>0.97</v>
      </c>
      <c r="K968">
        <v>6.29</v>
      </c>
      <c r="L968">
        <v>1.2</v>
      </c>
      <c r="M968">
        <v>9</v>
      </c>
      <c r="N968">
        <v>630</v>
      </c>
      <c r="O968" s="3">
        <f t="shared" si="30"/>
        <v>22146390</v>
      </c>
      <c r="P968" s="3">
        <f t="shared" si="31"/>
        <v>21895792</v>
      </c>
    </row>
    <row r="969" spans="1:16">
      <c r="A969">
        <v>2016</v>
      </c>
      <c r="B969" t="s">
        <v>21</v>
      </c>
      <c r="C969" t="s">
        <v>46</v>
      </c>
      <c r="D969" t="s">
        <v>22</v>
      </c>
      <c r="E969" t="s">
        <v>23</v>
      </c>
      <c r="F969" t="s">
        <v>24</v>
      </c>
      <c r="G969" s="3">
        <v>42853</v>
      </c>
      <c r="H969" s="3">
        <v>104362</v>
      </c>
      <c r="I969">
        <v>235</v>
      </c>
      <c r="J969" s="3">
        <v>0.97</v>
      </c>
      <c r="K969">
        <v>6.29</v>
      </c>
      <c r="L969">
        <v>1.2</v>
      </c>
      <c r="M969">
        <v>3</v>
      </c>
      <c r="N969">
        <v>666</v>
      </c>
      <c r="O969" s="3">
        <f t="shared" si="30"/>
        <v>28540098</v>
      </c>
      <c r="P969" s="3">
        <f t="shared" si="31"/>
        <v>28435736</v>
      </c>
    </row>
    <row r="970" spans="1:16">
      <c r="A970">
        <v>2024</v>
      </c>
      <c r="B970" t="s">
        <v>29</v>
      </c>
      <c r="C970" t="s">
        <v>51</v>
      </c>
      <c r="D970" t="s">
        <v>32</v>
      </c>
      <c r="E970" t="s">
        <v>19</v>
      </c>
      <c r="F970" t="s">
        <v>28</v>
      </c>
      <c r="G970" s="3">
        <v>47379</v>
      </c>
      <c r="H970" s="3">
        <v>103997</v>
      </c>
      <c r="I970">
        <v>15</v>
      </c>
      <c r="J970" s="3">
        <v>0.97</v>
      </c>
      <c r="K970">
        <v>6.29</v>
      </c>
      <c r="L970">
        <v>1.2</v>
      </c>
      <c r="M970">
        <v>2</v>
      </c>
      <c r="N970">
        <v>59</v>
      </c>
      <c r="O970" s="3">
        <f t="shared" si="30"/>
        <v>2795361</v>
      </c>
      <c r="P970" s="3">
        <f t="shared" si="31"/>
        <v>2691364</v>
      </c>
    </row>
    <row r="971" spans="1:16">
      <c r="A971">
        <v>2019</v>
      </c>
      <c r="B971" t="s">
        <v>53</v>
      </c>
      <c r="C971" t="s">
        <v>46</v>
      </c>
      <c r="D971" t="s">
        <v>41</v>
      </c>
      <c r="E971" t="s">
        <v>23</v>
      </c>
      <c r="F971" t="s">
        <v>24</v>
      </c>
      <c r="G971" s="3">
        <v>50792</v>
      </c>
      <c r="H971" s="3">
        <v>231413</v>
      </c>
      <c r="I971">
        <v>223</v>
      </c>
      <c r="J971" s="3">
        <v>0.97</v>
      </c>
      <c r="K971">
        <v>6.29</v>
      </c>
      <c r="L971">
        <v>1.2</v>
      </c>
      <c r="M971">
        <v>6</v>
      </c>
      <c r="N971">
        <v>804</v>
      </c>
      <c r="O971" s="3">
        <f t="shared" si="30"/>
        <v>40836768</v>
      </c>
      <c r="P971" s="3">
        <f t="shared" si="31"/>
        <v>40605355</v>
      </c>
    </row>
    <row r="972" spans="1:16">
      <c r="A972">
        <v>2024</v>
      </c>
      <c r="B972" t="s">
        <v>50</v>
      </c>
      <c r="C972" t="s">
        <v>31</v>
      </c>
      <c r="D972" t="s">
        <v>30</v>
      </c>
      <c r="E972" t="s">
        <v>23</v>
      </c>
      <c r="F972" t="s">
        <v>28</v>
      </c>
      <c r="G972" s="3">
        <v>73367</v>
      </c>
      <c r="H972" s="3">
        <v>462289</v>
      </c>
      <c r="I972">
        <v>215</v>
      </c>
      <c r="J972" s="3">
        <v>0.97</v>
      </c>
      <c r="K972">
        <v>6.29</v>
      </c>
      <c r="L972">
        <v>1.2</v>
      </c>
      <c r="M972">
        <v>4</v>
      </c>
      <c r="N972">
        <v>596</v>
      </c>
      <c r="O972" s="3">
        <f t="shared" si="30"/>
        <v>43726732</v>
      </c>
      <c r="P972" s="3">
        <f t="shared" si="31"/>
        <v>43264443</v>
      </c>
    </row>
    <row r="973" spans="1:16">
      <c r="A973">
        <v>2015</v>
      </c>
      <c r="B973" t="s">
        <v>25</v>
      </c>
      <c r="C973" t="s">
        <v>38</v>
      </c>
      <c r="D973" t="s">
        <v>42</v>
      </c>
      <c r="E973" t="s">
        <v>19</v>
      </c>
      <c r="F973" t="s">
        <v>28</v>
      </c>
      <c r="G973" s="3">
        <v>53100</v>
      </c>
      <c r="H973" s="3">
        <v>414543</v>
      </c>
      <c r="I973">
        <v>76</v>
      </c>
      <c r="J973" s="3">
        <v>0.97</v>
      </c>
      <c r="K973">
        <v>6.29</v>
      </c>
      <c r="L973">
        <v>1.2</v>
      </c>
      <c r="M973">
        <v>1</v>
      </c>
      <c r="N973">
        <v>320</v>
      </c>
      <c r="O973" s="3">
        <f t="shared" si="30"/>
        <v>16992000</v>
      </c>
      <c r="P973" s="3">
        <f t="shared" si="31"/>
        <v>16577457</v>
      </c>
    </row>
    <row r="974" spans="1:16">
      <c r="A974">
        <v>2020</v>
      </c>
      <c r="B974" t="s">
        <v>48</v>
      </c>
      <c r="C974" t="s">
        <v>38</v>
      </c>
      <c r="D974" t="s">
        <v>22</v>
      </c>
      <c r="E974" t="s">
        <v>23</v>
      </c>
      <c r="F974" t="s">
        <v>28</v>
      </c>
      <c r="G974" s="3">
        <v>98456</v>
      </c>
      <c r="H974" s="3">
        <v>326693</v>
      </c>
      <c r="I974">
        <v>109</v>
      </c>
      <c r="J974" s="3">
        <v>0.97</v>
      </c>
      <c r="K974">
        <v>6.29</v>
      </c>
      <c r="L974">
        <v>1.2</v>
      </c>
      <c r="M974">
        <v>8</v>
      </c>
      <c r="N974">
        <v>565</v>
      </c>
      <c r="O974" s="3">
        <f t="shared" si="30"/>
        <v>55627640</v>
      </c>
      <c r="P974" s="3">
        <f t="shared" si="31"/>
        <v>55300947</v>
      </c>
    </row>
    <row r="975" spans="1:16">
      <c r="A975">
        <v>2020</v>
      </c>
      <c r="B975" t="s">
        <v>35</v>
      </c>
      <c r="C975" t="s">
        <v>38</v>
      </c>
      <c r="D975" t="s">
        <v>36</v>
      </c>
      <c r="E975" t="s">
        <v>19</v>
      </c>
      <c r="F975" t="s">
        <v>33</v>
      </c>
      <c r="G975" s="3">
        <v>46049</v>
      </c>
      <c r="H975" s="3">
        <v>369064</v>
      </c>
      <c r="I975">
        <v>21</v>
      </c>
      <c r="J975" s="3">
        <v>0.97</v>
      </c>
      <c r="K975">
        <v>6.29</v>
      </c>
      <c r="L975">
        <v>1.2</v>
      </c>
      <c r="M975">
        <v>9</v>
      </c>
      <c r="N975">
        <v>96</v>
      </c>
      <c r="O975" s="3">
        <f t="shared" si="30"/>
        <v>4420704</v>
      </c>
      <c r="P975" s="3">
        <f t="shared" si="31"/>
        <v>4051640</v>
      </c>
    </row>
    <row r="976" spans="1:16">
      <c r="A976">
        <v>2018</v>
      </c>
      <c r="B976" t="s">
        <v>50</v>
      </c>
      <c r="C976" t="s">
        <v>44</v>
      </c>
      <c r="D976" t="s">
        <v>22</v>
      </c>
      <c r="E976" t="s">
        <v>23</v>
      </c>
      <c r="F976" t="s">
        <v>24</v>
      </c>
      <c r="G976" s="3">
        <v>35786</v>
      </c>
      <c r="H976" s="3">
        <v>266398</v>
      </c>
      <c r="I976">
        <v>246</v>
      </c>
      <c r="J976" s="3">
        <v>0.97</v>
      </c>
      <c r="K976">
        <v>6.29</v>
      </c>
      <c r="L976">
        <v>1.2</v>
      </c>
      <c r="M976">
        <v>9</v>
      </c>
      <c r="N976">
        <v>575</v>
      </c>
      <c r="O976" s="3">
        <f t="shared" si="30"/>
        <v>20576950</v>
      </c>
      <c r="P976" s="3">
        <f t="shared" si="31"/>
        <v>20310552</v>
      </c>
    </row>
    <row r="977" spans="1:16">
      <c r="A977">
        <v>2022</v>
      </c>
      <c r="B977" t="s">
        <v>35</v>
      </c>
      <c r="C977" t="s">
        <v>38</v>
      </c>
      <c r="D977" t="s">
        <v>36</v>
      </c>
      <c r="E977" t="s">
        <v>19</v>
      </c>
      <c r="F977" t="s">
        <v>28</v>
      </c>
      <c r="G977" s="3">
        <v>104904</v>
      </c>
      <c r="H977" s="3">
        <v>310464</v>
      </c>
      <c r="I977">
        <v>331</v>
      </c>
      <c r="J977" s="3">
        <v>0.97</v>
      </c>
      <c r="K977">
        <v>6.29</v>
      </c>
      <c r="L977">
        <v>1.2</v>
      </c>
      <c r="M977">
        <v>2</v>
      </c>
      <c r="N977">
        <v>968</v>
      </c>
      <c r="O977" s="3">
        <f t="shared" si="30"/>
        <v>101547072</v>
      </c>
      <c r="P977" s="3">
        <f t="shared" si="31"/>
        <v>101236608</v>
      </c>
    </row>
    <row r="978" spans="1:16">
      <c r="A978">
        <v>2018</v>
      </c>
      <c r="B978" t="s">
        <v>53</v>
      </c>
      <c r="C978" t="s">
        <v>31</v>
      </c>
      <c r="D978" t="s">
        <v>41</v>
      </c>
      <c r="E978" t="s">
        <v>23</v>
      </c>
      <c r="F978" t="s">
        <v>20</v>
      </c>
      <c r="G978" s="3">
        <v>65699</v>
      </c>
      <c r="H978" s="3">
        <v>463532</v>
      </c>
      <c r="I978">
        <v>267</v>
      </c>
      <c r="J978" s="3">
        <v>0.97</v>
      </c>
      <c r="K978">
        <v>6.29</v>
      </c>
      <c r="L978">
        <v>1.2</v>
      </c>
      <c r="M978">
        <v>9</v>
      </c>
      <c r="N978">
        <v>582</v>
      </c>
      <c r="O978" s="3">
        <f t="shared" si="30"/>
        <v>38236818</v>
      </c>
      <c r="P978" s="3">
        <f t="shared" si="31"/>
        <v>37773286</v>
      </c>
    </row>
    <row r="979" spans="1:16">
      <c r="A979">
        <v>2022</v>
      </c>
      <c r="B979" t="s">
        <v>43</v>
      </c>
      <c r="C979" t="s">
        <v>34</v>
      </c>
      <c r="D979" t="s">
        <v>27</v>
      </c>
      <c r="E979" t="s">
        <v>23</v>
      </c>
      <c r="F979" t="s">
        <v>33</v>
      </c>
      <c r="G979" s="3">
        <v>82691</v>
      </c>
      <c r="H979" s="3">
        <v>207255</v>
      </c>
      <c r="I979">
        <v>346</v>
      </c>
      <c r="J979" s="3">
        <v>0.97</v>
      </c>
      <c r="K979">
        <v>6.29</v>
      </c>
      <c r="L979">
        <v>1.2</v>
      </c>
      <c r="M979">
        <v>7</v>
      </c>
      <c r="N979">
        <v>1124</v>
      </c>
      <c r="O979" s="3">
        <f t="shared" si="30"/>
        <v>92944684</v>
      </c>
      <c r="P979" s="3">
        <f t="shared" si="31"/>
        <v>92737429</v>
      </c>
    </row>
    <row r="980" spans="1:16">
      <c r="A980">
        <v>2022</v>
      </c>
      <c r="B980" t="s">
        <v>25</v>
      </c>
      <c r="C980" t="s">
        <v>51</v>
      </c>
      <c r="D980" t="s">
        <v>36</v>
      </c>
      <c r="E980" t="s">
        <v>19</v>
      </c>
      <c r="F980" t="s">
        <v>33</v>
      </c>
      <c r="G980" s="3">
        <v>72040</v>
      </c>
      <c r="H980" s="3">
        <v>406004</v>
      </c>
      <c r="I980">
        <v>144</v>
      </c>
      <c r="J980" s="3">
        <v>0.97</v>
      </c>
      <c r="K980">
        <v>6.29</v>
      </c>
      <c r="L980">
        <v>1.2</v>
      </c>
      <c r="M980">
        <v>5</v>
      </c>
      <c r="N980">
        <v>697</v>
      </c>
      <c r="O980" s="3">
        <f t="shared" si="30"/>
        <v>50211880</v>
      </c>
      <c r="P980" s="3">
        <f t="shared" si="31"/>
        <v>49805876</v>
      </c>
    </row>
    <row r="981" spans="1:16">
      <c r="A981">
        <v>2019</v>
      </c>
      <c r="B981" t="s">
        <v>50</v>
      </c>
      <c r="C981" t="s">
        <v>31</v>
      </c>
      <c r="D981" t="s">
        <v>41</v>
      </c>
      <c r="E981" t="s">
        <v>23</v>
      </c>
      <c r="F981" t="s">
        <v>24</v>
      </c>
      <c r="G981" s="3">
        <v>92986</v>
      </c>
      <c r="H981" s="3">
        <v>74624</v>
      </c>
      <c r="I981">
        <v>231</v>
      </c>
      <c r="J981" s="3">
        <v>0.97</v>
      </c>
      <c r="K981">
        <v>6.29</v>
      </c>
      <c r="L981">
        <v>1.2</v>
      </c>
      <c r="M981">
        <v>7</v>
      </c>
      <c r="N981">
        <v>704</v>
      </c>
      <c r="O981" s="3">
        <f t="shared" si="30"/>
        <v>65462144</v>
      </c>
      <c r="P981" s="3">
        <f t="shared" si="31"/>
        <v>65387520</v>
      </c>
    </row>
    <row r="982" spans="1:16">
      <c r="A982">
        <v>2018</v>
      </c>
      <c r="B982" t="s">
        <v>21</v>
      </c>
      <c r="C982" t="s">
        <v>51</v>
      </c>
      <c r="D982" t="s">
        <v>41</v>
      </c>
      <c r="E982" t="s">
        <v>23</v>
      </c>
      <c r="F982" t="s">
        <v>28</v>
      </c>
      <c r="G982" s="3">
        <v>73762</v>
      </c>
      <c r="H982" s="3">
        <v>243587</v>
      </c>
      <c r="I982">
        <v>165</v>
      </c>
      <c r="J982" s="3">
        <v>0.97</v>
      </c>
      <c r="K982">
        <v>6.29</v>
      </c>
      <c r="L982">
        <v>1.2</v>
      </c>
      <c r="M982">
        <v>9</v>
      </c>
      <c r="N982">
        <v>332</v>
      </c>
      <c r="O982" s="3">
        <f t="shared" si="30"/>
        <v>24488984</v>
      </c>
      <c r="P982" s="3">
        <f t="shared" si="31"/>
        <v>24245397</v>
      </c>
    </row>
    <row r="983" spans="1:16">
      <c r="A983">
        <v>2016</v>
      </c>
      <c r="B983" t="s">
        <v>53</v>
      </c>
      <c r="C983" t="s">
        <v>31</v>
      </c>
      <c r="D983" t="s">
        <v>27</v>
      </c>
      <c r="E983" t="s">
        <v>23</v>
      </c>
      <c r="F983" t="s">
        <v>24</v>
      </c>
      <c r="G983" s="3">
        <v>58600</v>
      </c>
      <c r="H983" s="3">
        <v>284784</v>
      </c>
      <c r="I983">
        <v>151</v>
      </c>
      <c r="J983" s="3">
        <v>0.97</v>
      </c>
      <c r="K983">
        <v>6.29</v>
      </c>
      <c r="L983">
        <v>1.2</v>
      </c>
      <c r="M983">
        <v>8</v>
      </c>
      <c r="N983">
        <v>654</v>
      </c>
      <c r="O983" s="3">
        <f t="shared" si="30"/>
        <v>38324400</v>
      </c>
      <c r="P983" s="3">
        <f t="shared" si="31"/>
        <v>38039616</v>
      </c>
    </row>
    <row r="984" spans="1:16">
      <c r="A984">
        <v>2017</v>
      </c>
      <c r="B984" t="s">
        <v>37</v>
      </c>
      <c r="C984" t="s">
        <v>38</v>
      </c>
      <c r="D984" t="s">
        <v>18</v>
      </c>
      <c r="E984" t="s">
        <v>19</v>
      </c>
      <c r="F984" t="s">
        <v>33</v>
      </c>
      <c r="G984" s="3">
        <v>54810</v>
      </c>
      <c r="H984" s="3">
        <v>96705</v>
      </c>
      <c r="I984">
        <v>167</v>
      </c>
      <c r="J984" s="3">
        <v>0.97</v>
      </c>
      <c r="K984">
        <v>6.29</v>
      </c>
      <c r="L984">
        <v>1.2</v>
      </c>
      <c r="M984">
        <v>6</v>
      </c>
      <c r="N984">
        <v>663</v>
      </c>
      <c r="O984" s="3">
        <f t="shared" si="30"/>
        <v>36339030</v>
      </c>
      <c r="P984" s="3">
        <f t="shared" si="31"/>
        <v>36242325</v>
      </c>
    </row>
    <row r="985" spans="1:16">
      <c r="A985">
        <v>2017</v>
      </c>
      <c r="B985" t="s">
        <v>16</v>
      </c>
      <c r="C985" t="s">
        <v>34</v>
      </c>
      <c r="D985" t="s">
        <v>22</v>
      </c>
      <c r="E985" t="s">
        <v>23</v>
      </c>
      <c r="F985" t="s">
        <v>28</v>
      </c>
      <c r="G985" s="3">
        <v>92204</v>
      </c>
      <c r="H985" s="3">
        <v>139326</v>
      </c>
      <c r="I985">
        <v>335</v>
      </c>
      <c r="J985" s="3">
        <v>0.97</v>
      </c>
      <c r="K985">
        <v>6.29</v>
      </c>
      <c r="L985">
        <v>1.2</v>
      </c>
      <c r="M985">
        <v>4</v>
      </c>
      <c r="N985">
        <v>698</v>
      </c>
      <c r="O985" s="3">
        <f t="shared" si="30"/>
        <v>64358392</v>
      </c>
      <c r="P985" s="3">
        <f t="shared" si="31"/>
        <v>64219066</v>
      </c>
    </row>
    <row r="986" spans="1:16">
      <c r="A986">
        <v>2018</v>
      </c>
      <c r="B986" t="s">
        <v>50</v>
      </c>
      <c r="C986" t="s">
        <v>17</v>
      </c>
      <c r="D986" t="s">
        <v>39</v>
      </c>
      <c r="E986" t="s">
        <v>23</v>
      </c>
      <c r="F986" t="s">
        <v>20</v>
      </c>
      <c r="G986" s="3">
        <v>55085</v>
      </c>
      <c r="H986" s="3">
        <v>469972</v>
      </c>
      <c r="I986">
        <v>380</v>
      </c>
      <c r="J986" s="3">
        <v>0.97</v>
      </c>
      <c r="K986">
        <v>6.29</v>
      </c>
      <c r="L986">
        <v>1.2</v>
      </c>
      <c r="M986">
        <v>1</v>
      </c>
      <c r="N986">
        <v>880</v>
      </c>
      <c r="O986" s="3">
        <f t="shared" si="30"/>
        <v>48474800</v>
      </c>
      <c r="P986" s="3">
        <f t="shared" si="31"/>
        <v>48004828</v>
      </c>
    </row>
    <row r="987" spans="1:16">
      <c r="A987">
        <v>2018</v>
      </c>
      <c r="B987" t="s">
        <v>21</v>
      </c>
      <c r="C987" t="s">
        <v>46</v>
      </c>
      <c r="D987" t="s">
        <v>39</v>
      </c>
      <c r="E987" t="s">
        <v>23</v>
      </c>
      <c r="F987" t="s">
        <v>28</v>
      </c>
      <c r="G987" s="3">
        <v>81854</v>
      </c>
      <c r="H987" s="3">
        <v>372534</v>
      </c>
      <c r="I987">
        <v>353</v>
      </c>
      <c r="J987" s="3">
        <v>0.97</v>
      </c>
      <c r="K987">
        <v>6.29</v>
      </c>
      <c r="L987">
        <v>1.2</v>
      </c>
      <c r="M987">
        <v>6</v>
      </c>
      <c r="N987">
        <v>887</v>
      </c>
      <c r="O987" s="3">
        <f t="shared" si="30"/>
        <v>72604498</v>
      </c>
      <c r="P987" s="3">
        <f t="shared" si="31"/>
        <v>72231964</v>
      </c>
    </row>
    <row r="988" spans="1:16">
      <c r="A988">
        <v>2024</v>
      </c>
      <c r="B988" t="s">
        <v>48</v>
      </c>
      <c r="C988" t="s">
        <v>40</v>
      </c>
      <c r="D988" t="s">
        <v>42</v>
      </c>
      <c r="E988" t="s">
        <v>19</v>
      </c>
      <c r="F988" t="s">
        <v>33</v>
      </c>
      <c r="G988" s="3">
        <v>109797</v>
      </c>
      <c r="H988" s="3">
        <v>118369</v>
      </c>
      <c r="I988">
        <v>271</v>
      </c>
      <c r="J988" s="3">
        <v>0.97</v>
      </c>
      <c r="K988">
        <v>6.29</v>
      </c>
      <c r="L988">
        <v>1.2</v>
      </c>
      <c r="M988">
        <v>3</v>
      </c>
      <c r="N988">
        <v>720</v>
      </c>
      <c r="O988" s="3">
        <f t="shared" si="30"/>
        <v>79053840</v>
      </c>
      <c r="P988" s="3">
        <f t="shared" si="31"/>
        <v>78935471</v>
      </c>
    </row>
    <row r="989" spans="1:16">
      <c r="A989">
        <v>2019</v>
      </c>
      <c r="B989" t="s">
        <v>37</v>
      </c>
      <c r="C989" t="s">
        <v>34</v>
      </c>
      <c r="D989" t="s">
        <v>42</v>
      </c>
      <c r="E989" t="s">
        <v>19</v>
      </c>
      <c r="F989" t="s">
        <v>20</v>
      </c>
      <c r="G989" s="3">
        <v>119269</v>
      </c>
      <c r="H989" s="3">
        <v>251893</v>
      </c>
      <c r="I989">
        <v>292</v>
      </c>
      <c r="J989" s="3">
        <v>0.97</v>
      </c>
      <c r="K989">
        <v>6.29</v>
      </c>
      <c r="L989">
        <v>1.2</v>
      </c>
      <c r="M989">
        <v>6</v>
      </c>
      <c r="N989">
        <v>910</v>
      </c>
      <c r="O989" s="3">
        <f t="shared" si="30"/>
        <v>108534790</v>
      </c>
      <c r="P989" s="3">
        <f t="shared" si="31"/>
        <v>108282897</v>
      </c>
    </row>
    <row r="990" spans="1:16">
      <c r="A990">
        <v>2018</v>
      </c>
      <c r="B990" t="s">
        <v>48</v>
      </c>
      <c r="C990" t="s">
        <v>17</v>
      </c>
      <c r="D990" t="s">
        <v>39</v>
      </c>
      <c r="E990" t="s">
        <v>23</v>
      </c>
      <c r="F990" t="s">
        <v>28</v>
      </c>
      <c r="G990" s="3">
        <v>74779</v>
      </c>
      <c r="H990" s="3">
        <v>321733</v>
      </c>
      <c r="I990">
        <v>347</v>
      </c>
      <c r="J990" s="3">
        <v>0.97</v>
      </c>
      <c r="K990">
        <v>6.29</v>
      </c>
      <c r="L990">
        <v>1.2</v>
      </c>
      <c r="M990">
        <v>6</v>
      </c>
      <c r="N990">
        <v>726</v>
      </c>
      <c r="O990" s="3">
        <f t="shared" si="30"/>
        <v>54289554</v>
      </c>
      <c r="P990" s="3">
        <f t="shared" si="31"/>
        <v>53967821</v>
      </c>
    </row>
    <row r="991" spans="1:16">
      <c r="A991">
        <v>2024</v>
      </c>
      <c r="B991" t="s">
        <v>53</v>
      </c>
      <c r="C991" t="s">
        <v>26</v>
      </c>
      <c r="D991" t="s">
        <v>32</v>
      </c>
      <c r="E991" t="s">
        <v>19</v>
      </c>
      <c r="F991" t="s">
        <v>20</v>
      </c>
      <c r="G991" s="3">
        <v>91207</v>
      </c>
      <c r="H991" s="3">
        <v>163012</v>
      </c>
      <c r="I991">
        <v>353</v>
      </c>
      <c r="J991" s="3">
        <v>0.97</v>
      </c>
      <c r="K991">
        <v>6.29</v>
      </c>
      <c r="L991">
        <v>1.2</v>
      </c>
      <c r="M991">
        <v>4</v>
      </c>
      <c r="N991">
        <v>821</v>
      </c>
      <c r="O991" s="3">
        <f t="shared" si="30"/>
        <v>74880947</v>
      </c>
      <c r="P991" s="3">
        <f t="shared" si="31"/>
        <v>74717935</v>
      </c>
    </row>
    <row r="992" spans="1:16">
      <c r="A992">
        <v>2022</v>
      </c>
      <c r="B992" t="s">
        <v>16</v>
      </c>
      <c r="C992" t="s">
        <v>31</v>
      </c>
      <c r="D992" t="s">
        <v>39</v>
      </c>
      <c r="E992" t="s">
        <v>23</v>
      </c>
      <c r="F992" t="s">
        <v>20</v>
      </c>
      <c r="G992" s="3">
        <v>68980</v>
      </c>
      <c r="H992" s="3">
        <v>457332</v>
      </c>
      <c r="I992">
        <v>238</v>
      </c>
      <c r="J992" s="3">
        <v>0.97</v>
      </c>
      <c r="K992">
        <v>6.29</v>
      </c>
      <c r="L992">
        <v>1.2</v>
      </c>
      <c r="M992">
        <v>2</v>
      </c>
      <c r="N992">
        <v>710</v>
      </c>
      <c r="O992" s="3">
        <f t="shared" si="30"/>
        <v>48975800</v>
      </c>
      <c r="P992" s="3">
        <f t="shared" si="31"/>
        <v>48518468</v>
      </c>
    </row>
    <row r="993" spans="1:16">
      <c r="A993">
        <v>2020</v>
      </c>
      <c r="B993" t="s">
        <v>50</v>
      </c>
      <c r="C993" t="s">
        <v>26</v>
      </c>
      <c r="D993" t="s">
        <v>42</v>
      </c>
      <c r="E993" t="s">
        <v>19</v>
      </c>
      <c r="F993" t="s">
        <v>33</v>
      </c>
      <c r="G993" s="3">
        <v>91117</v>
      </c>
      <c r="H993" s="3">
        <v>385325</v>
      </c>
      <c r="I993">
        <v>385</v>
      </c>
      <c r="J993" s="3">
        <v>0.97</v>
      </c>
      <c r="K993">
        <v>6.29</v>
      </c>
      <c r="L993">
        <v>1.2</v>
      </c>
      <c r="M993">
        <v>9</v>
      </c>
      <c r="N993">
        <v>1036</v>
      </c>
      <c r="O993" s="3">
        <f t="shared" si="30"/>
        <v>94397212</v>
      </c>
      <c r="P993" s="3">
        <f t="shared" si="31"/>
        <v>94011887</v>
      </c>
    </row>
    <row r="994" spans="1:16">
      <c r="A994">
        <v>2020</v>
      </c>
      <c r="B994" t="s">
        <v>50</v>
      </c>
      <c r="C994" t="s">
        <v>17</v>
      </c>
      <c r="D994" t="s">
        <v>30</v>
      </c>
      <c r="E994" t="s">
        <v>23</v>
      </c>
      <c r="F994" t="s">
        <v>20</v>
      </c>
      <c r="G994" s="3">
        <v>49141</v>
      </c>
      <c r="H994" s="3">
        <v>225858</v>
      </c>
      <c r="I994">
        <v>289</v>
      </c>
      <c r="J994" s="3">
        <v>0.97</v>
      </c>
      <c r="K994">
        <v>6.29</v>
      </c>
      <c r="L994">
        <v>1.2</v>
      </c>
      <c r="M994">
        <v>2</v>
      </c>
      <c r="N994">
        <v>648</v>
      </c>
      <c r="O994" s="3">
        <f t="shared" si="30"/>
        <v>31843368</v>
      </c>
      <c r="P994" s="3">
        <f t="shared" si="31"/>
        <v>31617510</v>
      </c>
    </row>
    <row r="995" spans="1:16">
      <c r="A995">
        <v>2022</v>
      </c>
      <c r="B995" t="s">
        <v>43</v>
      </c>
      <c r="C995" t="s">
        <v>34</v>
      </c>
      <c r="D995" t="s">
        <v>42</v>
      </c>
      <c r="E995" t="s">
        <v>19</v>
      </c>
      <c r="F995" t="s">
        <v>24</v>
      </c>
      <c r="G995" s="3">
        <v>44344</v>
      </c>
      <c r="H995" s="3">
        <v>275758</v>
      </c>
      <c r="I995">
        <v>367</v>
      </c>
      <c r="J995" s="3">
        <v>0.97</v>
      </c>
      <c r="K995">
        <v>6.29</v>
      </c>
      <c r="L995">
        <v>1.2</v>
      </c>
      <c r="M995">
        <v>3</v>
      </c>
      <c r="N995">
        <v>783</v>
      </c>
      <c r="O995" s="3">
        <f t="shared" si="30"/>
        <v>34721352</v>
      </c>
      <c r="P995" s="3">
        <f t="shared" si="31"/>
        <v>34445594</v>
      </c>
    </row>
    <row r="996" spans="1:16">
      <c r="A996">
        <v>2021</v>
      </c>
      <c r="B996" t="s">
        <v>29</v>
      </c>
      <c r="C996" t="s">
        <v>31</v>
      </c>
      <c r="D996" t="s">
        <v>32</v>
      </c>
      <c r="E996" t="s">
        <v>19</v>
      </c>
      <c r="F996" t="s">
        <v>33</v>
      </c>
      <c r="G996" s="3">
        <v>50896</v>
      </c>
      <c r="H996" s="3">
        <v>173711</v>
      </c>
      <c r="I996">
        <v>299</v>
      </c>
      <c r="J996" s="3">
        <v>0.97</v>
      </c>
      <c r="K996">
        <v>6.29</v>
      </c>
      <c r="L996">
        <v>1.2</v>
      </c>
      <c r="M996">
        <v>10</v>
      </c>
      <c r="N996">
        <v>668</v>
      </c>
      <c r="O996" s="3">
        <f t="shared" si="30"/>
        <v>33998528</v>
      </c>
      <c r="P996" s="3">
        <f t="shared" si="31"/>
        <v>33824817</v>
      </c>
    </row>
    <row r="997" spans="1:16">
      <c r="A997">
        <v>2024</v>
      </c>
      <c r="B997" t="s">
        <v>43</v>
      </c>
      <c r="C997" t="s">
        <v>40</v>
      </c>
      <c r="D997" t="s">
        <v>22</v>
      </c>
      <c r="E997" t="s">
        <v>23</v>
      </c>
      <c r="F997" t="s">
        <v>24</v>
      </c>
      <c r="G997" s="3">
        <v>64813</v>
      </c>
      <c r="H997" s="3">
        <v>126425</v>
      </c>
      <c r="I997">
        <v>177</v>
      </c>
      <c r="J997" s="3">
        <v>0.97</v>
      </c>
      <c r="K997">
        <v>6.29</v>
      </c>
      <c r="L997">
        <v>1.2</v>
      </c>
      <c r="M997">
        <v>1</v>
      </c>
      <c r="N997">
        <v>570</v>
      </c>
      <c r="O997" s="3">
        <f t="shared" si="30"/>
        <v>36943410</v>
      </c>
      <c r="P997" s="3">
        <f t="shared" si="31"/>
        <v>36816985</v>
      </c>
    </row>
    <row r="998" spans="1:16">
      <c r="A998">
        <v>2024</v>
      </c>
      <c r="B998" t="s">
        <v>53</v>
      </c>
      <c r="C998" t="s">
        <v>38</v>
      </c>
      <c r="D998" t="s">
        <v>39</v>
      </c>
      <c r="E998" t="s">
        <v>23</v>
      </c>
      <c r="F998" t="s">
        <v>20</v>
      </c>
      <c r="G998" s="3">
        <v>119431</v>
      </c>
      <c r="H998" s="3">
        <v>473502</v>
      </c>
      <c r="I998">
        <v>56</v>
      </c>
      <c r="J998" s="3">
        <v>0.97</v>
      </c>
      <c r="K998">
        <v>6.29</v>
      </c>
      <c r="L998">
        <v>1.2</v>
      </c>
      <c r="M998">
        <v>7</v>
      </c>
      <c r="N998">
        <v>433</v>
      </c>
      <c r="O998" s="3">
        <f t="shared" si="30"/>
        <v>51713623</v>
      </c>
      <c r="P998" s="3">
        <f t="shared" si="31"/>
        <v>51240121</v>
      </c>
    </row>
    <row r="999" spans="1:16">
      <c r="A999">
        <v>2022</v>
      </c>
      <c r="B999" t="s">
        <v>53</v>
      </c>
      <c r="C999" t="s">
        <v>31</v>
      </c>
      <c r="D999" t="s">
        <v>27</v>
      </c>
      <c r="E999" t="s">
        <v>23</v>
      </c>
      <c r="F999" t="s">
        <v>24</v>
      </c>
      <c r="G999" s="3">
        <v>100679</v>
      </c>
      <c r="H999" s="3">
        <v>65994</v>
      </c>
      <c r="I999">
        <v>212</v>
      </c>
      <c r="J999" s="3">
        <v>0.97</v>
      </c>
      <c r="K999">
        <v>6.29</v>
      </c>
      <c r="L999">
        <v>1.2</v>
      </c>
      <c r="M999">
        <v>1</v>
      </c>
      <c r="N999">
        <v>614</v>
      </c>
      <c r="O999" s="3">
        <f t="shared" si="30"/>
        <v>61816906</v>
      </c>
      <c r="P999" s="3">
        <f t="shared" si="31"/>
        <v>61750912</v>
      </c>
    </row>
    <row r="1000" spans="1:16">
      <c r="A1000">
        <v>2016</v>
      </c>
      <c r="B1000" t="s">
        <v>16</v>
      </c>
      <c r="C1000" t="s">
        <v>31</v>
      </c>
      <c r="D1000" t="s">
        <v>30</v>
      </c>
      <c r="E1000" t="s">
        <v>23</v>
      </c>
      <c r="F1000" t="s">
        <v>28</v>
      </c>
      <c r="G1000" s="3">
        <v>45681</v>
      </c>
      <c r="H1000" s="3">
        <v>161915</v>
      </c>
      <c r="I1000">
        <v>223</v>
      </c>
      <c r="J1000" s="3">
        <v>0.97</v>
      </c>
      <c r="K1000">
        <v>6.29</v>
      </c>
      <c r="L1000">
        <v>1.2</v>
      </c>
      <c r="M1000">
        <v>9</v>
      </c>
      <c r="N1000">
        <v>511</v>
      </c>
      <c r="O1000" s="3">
        <f t="shared" si="30"/>
        <v>23342991</v>
      </c>
      <c r="P1000" s="3">
        <f t="shared" si="31"/>
        <v>23181076</v>
      </c>
    </row>
    <row r="1001" spans="1:16">
      <c r="A1001">
        <v>2023</v>
      </c>
      <c r="B1001" t="s">
        <v>43</v>
      </c>
      <c r="C1001" t="s">
        <v>34</v>
      </c>
      <c r="D1001" t="s">
        <v>41</v>
      </c>
      <c r="E1001" t="s">
        <v>23</v>
      </c>
      <c r="F1001" t="s">
        <v>20</v>
      </c>
      <c r="G1001" s="3">
        <v>107903</v>
      </c>
      <c r="H1001" s="3">
        <v>435105</v>
      </c>
      <c r="I1001">
        <v>255</v>
      </c>
      <c r="J1001" s="3">
        <v>0.97</v>
      </c>
      <c r="K1001">
        <v>6.29</v>
      </c>
      <c r="L1001">
        <v>1.2</v>
      </c>
      <c r="M1001">
        <v>1</v>
      </c>
      <c r="N1001">
        <v>891</v>
      </c>
      <c r="O1001" s="3">
        <f t="shared" si="30"/>
        <v>96141573</v>
      </c>
      <c r="P1001" s="3">
        <f t="shared" si="31"/>
        <v>95706468</v>
      </c>
    </row>
    <row r="1005" spans="1:16">
      <c r="A1005" t="s">
        <v>3</v>
      </c>
      <c r="B1005" t="s">
        <v>4</v>
      </c>
    </row>
    <row r="1006" spans="1:16">
      <c r="A1006" t="str" cm="1">
        <f t="array" ref="A1006:A1015">_xlfn.UNIQUE(D2:D1001)</f>
        <v>X1</v>
      </c>
      <c r="B1006" t="s">
        <v>19</v>
      </c>
    </row>
    <row r="1007" spans="1:16">
      <c r="A1007" t="str">
        <v>I4</v>
      </c>
      <c r="B1007" t="s">
        <v>23</v>
      </c>
    </row>
    <row r="1008" spans="1:16">
      <c r="A1008" t="str">
        <v>5 SERIES</v>
      </c>
      <c r="B1008" t="s">
        <v>23</v>
      </c>
    </row>
    <row r="1009" spans="1:13">
      <c r="A1009" t="str">
        <v>I7</v>
      </c>
      <c r="B1009" t="s">
        <v>23</v>
      </c>
      <c r="C1009" t="s">
        <v>24</v>
      </c>
    </row>
    <row r="1010" spans="1:13">
      <c r="A1010" t="str">
        <v>X5</v>
      </c>
      <c r="B1010" t="s">
        <v>19</v>
      </c>
      <c r="F1010" s="3"/>
      <c r="H1010"/>
      <c r="I1010" s="3"/>
      <c r="J1010"/>
    </row>
    <row r="1011" spans="1:13">
      <c r="A1011" t="str">
        <v>X7</v>
      </c>
      <c r="B1011" t="s">
        <v>19</v>
      </c>
      <c r="F1011" s="3"/>
      <c r="H1011"/>
      <c r="I1011" s="3"/>
      <c r="J1011"/>
    </row>
    <row r="1012" spans="1:13">
      <c r="A1012" t="str">
        <v>3 SERIES</v>
      </c>
      <c r="B1012" t="s">
        <v>23</v>
      </c>
      <c r="F1012" s="3"/>
      <c r="H1012"/>
      <c r="I1012" s="3"/>
      <c r="J1012"/>
    </row>
    <row r="1013" spans="1:13">
      <c r="A1013" t="str">
        <v>7 SERIES</v>
      </c>
      <c r="B1013" t="s">
        <v>23</v>
      </c>
      <c r="F1013" s="3"/>
      <c r="H1013"/>
      <c r="I1013" s="3"/>
      <c r="J1013"/>
    </row>
    <row r="1014" spans="1:13">
      <c r="A1014" t="str">
        <v>X3</v>
      </c>
      <c r="B1014" t="s">
        <v>19</v>
      </c>
      <c r="F1014" s="3"/>
      <c r="H1014"/>
      <c r="I1014" s="3"/>
      <c r="J1014"/>
      <c r="K1014" t="s">
        <v>54</v>
      </c>
      <c r="L1014" t="s">
        <v>55</v>
      </c>
      <c r="M1014" t="s">
        <v>56</v>
      </c>
    </row>
    <row r="1015" spans="1:13">
      <c r="A1015" t="str">
        <v>IX</v>
      </c>
      <c r="B1015" t="s">
        <v>19</v>
      </c>
      <c r="C1015" t="s">
        <v>24</v>
      </c>
      <c r="F1015" s="3"/>
      <c r="H1015"/>
      <c r="I1015" s="3"/>
      <c r="J1015"/>
      <c r="K1015" t="s">
        <v>57</v>
      </c>
      <c r="L1015">
        <v>70</v>
      </c>
      <c r="M1015">
        <v>20</v>
      </c>
    </row>
    <row r="1016" spans="1:13">
      <c r="F1016" s="3"/>
      <c r="H1016"/>
      <c r="I1016" s="3"/>
      <c r="J1016"/>
      <c r="K1016" t="s">
        <v>58</v>
      </c>
      <c r="L1016">
        <v>85</v>
      </c>
      <c r="M1016">
        <v>55</v>
      </c>
    </row>
    <row r="1017" spans="1:13">
      <c r="F1017" s="3"/>
      <c r="H1017"/>
      <c r="I1017" s="3"/>
      <c r="J1017"/>
      <c r="K1017" t="s">
        <v>59</v>
      </c>
      <c r="L1017">
        <v>60</v>
      </c>
      <c r="M1017">
        <v>40</v>
      </c>
    </row>
    <row r="1018" spans="1:13">
      <c r="F1018" s="3"/>
      <c r="H1018"/>
      <c r="I1018" s="3"/>
      <c r="J1018"/>
      <c r="K1018" t="s">
        <v>60</v>
      </c>
      <c r="L1018">
        <v>35</v>
      </c>
      <c r="M1018">
        <v>60</v>
      </c>
    </row>
    <row r="1019" spans="1:13">
      <c r="F1019" s="3"/>
      <c r="H1019"/>
      <c r="I1019" s="3"/>
      <c r="J1019"/>
      <c r="K1019" t="s">
        <v>61</v>
      </c>
      <c r="L1019">
        <v>80</v>
      </c>
      <c r="M1019">
        <v>20</v>
      </c>
    </row>
  </sheetData>
  <autoFilter ref="A1:P1001" xr:uid="{1696832B-05AC-498D-B206-640E3E64EC3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491E-D1C4-42D9-9739-EBC28CD98B85}">
  <dimension ref="A1:J4"/>
  <sheetViews>
    <sheetView showGridLines="0" showRowColHeaders="0" tabSelected="1" topLeftCell="A13" workbookViewId="0">
      <selection activeCell="F106" sqref="F10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11.42578125" bestFit="1" customWidth="1"/>
    <col min="2" max="2" width="17.140625" bestFit="1" customWidth="1"/>
    <col min="3" max="5" width="19.28515625" bestFit="1" customWidth="1"/>
    <col min="6" max="6" width="20.7109375" bestFit="1" customWidth="1"/>
    <col min="7" max="7" width="24.85546875" customWidth="1"/>
    <col min="8" max="8" width="19.140625" customWidth="1"/>
    <col min="9" max="11" width="16.42578125" bestFit="1" customWidth="1"/>
    <col min="12" max="12" width="18.140625" bestFit="1" customWidth="1"/>
    <col min="13" max="101" width="16.42578125" bestFit="1" customWidth="1"/>
    <col min="102" max="110" width="16.5703125" bestFit="1" customWidth="1"/>
    <col min="111" max="111" width="18.140625" bestFit="1" customWidth="1"/>
    <col min="112" max="112" width="19.28515625" bestFit="1" customWidth="1"/>
    <col min="113" max="121" width="16.5703125" bestFit="1" customWidth="1"/>
    <col min="122" max="122" width="18.140625" bestFit="1" customWidth="1"/>
    <col min="123" max="132" width="16.5703125" bestFit="1" customWidth="1"/>
    <col min="133" max="133" width="18.140625" bestFit="1" customWidth="1"/>
    <col min="134" max="134" width="19.28515625" bestFit="1" customWidth="1"/>
  </cols>
  <sheetData>
    <row r="1" spans="1:10">
      <c r="A1" s="59" t="s">
        <v>62</v>
      </c>
      <c r="B1" s="60"/>
      <c r="C1" s="60"/>
      <c r="D1" s="60"/>
      <c r="E1" s="60"/>
      <c r="F1" s="63" t="s">
        <v>63</v>
      </c>
      <c r="G1" s="63" t="s">
        <v>64</v>
      </c>
      <c r="H1" s="65" t="s">
        <v>65</v>
      </c>
      <c r="I1" s="51" t="s">
        <v>66</v>
      </c>
      <c r="J1" s="55" t="s">
        <v>67</v>
      </c>
    </row>
    <row r="2" spans="1:10">
      <c r="A2" s="60"/>
      <c r="B2" s="60"/>
      <c r="C2" s="60"/>
      <c r="D2" s="60"/>
      <c r="E2" s="60"/>
      <c r="F2" s="64"/>
      <c r="G2" s="64"/>
      <c r="H2" s="66"/>
      <c r="I2" s="52"/>
      <c r="J2" s="56"/>
    </row>
    <row r="3" spans="1:10">
      <c r="A3" s="60"/>
      <c r="B3" s="60"/>
      <c r="C3" s="60"/>
      <c r="D3" s="60"/>
      <c r="E3" s="60"/>
      <c r="F3" s="61">
        <v>47969164700</v>
      </c>
      <c r="G3" s="61">
        <f>SUM('Bmw sales data'!H2:H1001)</f>
        <v>279492230</v>
      </c>
      <c r="H3" s="57">
        <f>COUNTA(_xlfn.UNIQUE('Bmw sales data'!D2:D1001))</f>
        <v>10</v>
      </c>
      <c r="I3" s="53">
        <f>COUNTA(_xlfn.UNIQUE('Bmw sales data'!C2:C1001))</f>
        <v>10</v>
      </c>
      <c r="J3" s="57">
        <f>SUM('Bmw sales data'!N2:N1001)</f>
        <v>633192</v>
      </c>
    </row>
    <row r="4" spans="1:10">
      <c r="A4" s="60"/>
      <c r="B4" s="60"/>
      <c r="C4" s="60"/>
      <c r="D4" s="60"/>
      <c r="E4" s="60"/>
      <c r="F4" s="62"/>
      <c r="G4" s="62"/>
      <c r="H4" s="58"/>
      <c r="I4" s="54"/>
      <c r="J4" s="58"/>
    </row>
  </sheetData>
  <mergeCells count="11">
    <mergeCell ref="I1:I2"/>
    <mergeCell ref="I3:I4"/>
    <mergeCell ref="J1:J2"/>
    <mergeCell ref="J3:J4"/>
    <mergeCell ref="A1:E4"/>
    <mergeCell ref="F3:F4"/>
    <mergeCell ref="F1:F2"/>
    <mergeCell ref="G1:G2"/>
    <mergeCell ref="H1:H2"/>
    <mergeCell ref="G3:G4"/>
    <mergeCell ref="H3:H4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C3F93-9EAC-42B7-86E8-876F08A35AE5}">
  <dimension ref="A2:B14"/>
  <sheetViews>
    <sheetView topLeftCell="A10" workbookViewId="0">
      <selection activeCell="B7" sqref="A3:B9"/>
    </sheetView>
  </sheetViews>
  <sheetFormatPr defaultRowHeight="15"/>
  <cols>
    <col min="1" max="1" width="11.42578125" bestFit="1" customWidth="1"/>
    <col min="2" max="2" width="17.140625" bestFit="1" customWidth="1"/>
    <col min="3" max="3" width="14.7109375" bestFit="1" customWidth="1"/>
  </cols>
  <sheetData>
    <row r="2" spans="1:2">
      <c r="A2" t="s">
        <v>68</v>
      </c>
    </row>
    <row r="3" spans="1:2">
      <c r="A3" s="4" t="s">
        <v>3</v>
      </c>
      <c r="B3" t="s">
        <v>69</v>
      </c>
    </row>
    <row r="4" spans="1:2">
      <c r="A4" t="s">
        <v>39</v>
      </c>
      <c r="B4" s="5">
        <v>70886</v>
      </c>
    </row>
    <row r="5" spans="1:2">
      <c r="A5" t="s">
        <v>27</v>
      </c>
      <c r="B5" s="5">
        <v>59144</v>
      </c>
    </row>
    <row r="6" spans="1:2">
      <c r="A6" t="s">
        <v>41</v>
      </c>
      <c r="B6" s="5">
        <v>65071</v>
      </c>
    </row>
    <row r="7" spans="1:2">
      <c r="A7" t="s">
        <v>22</v>
      </c>
      <c r="B7" s="5">
        <v>69528</v>
      </c>
    </row>
    <row r="8" spans="1:2">
      <c r="A8" t="s">
        <v>30</v>
      </c>
      <c r="B8" s="5">
        <v>63974</v>
      </c>
    </row>
    <row r="9" spans="1:2">
      <c r="A9" t="s">
        <v>52</v>
      </c>
      <c r="B9" s="5">
        <v>51067</v>
      </c>
    </row>
    <row r="10" spans="1:2">
      <c r="A10" t="s">
        <v>18</v>
      </c>
      <c r="B10" s="5">
        <v>61341</v>
      </c>
    </row>
    <row r="11" spans="1:2">
      <c r="A11" t="s">
        <v>42</v>
      </c>
      <c r="B11" s="5">
        <v>73358</v>
      </c>
    </row>
    <row r="12" spans="1:2">
      <c r="A12" t="s">
        <v>32</v>
      </c>
      <c r="B12" s="5">
        <v>65505</v>
      </c>
    </row>
    <row r="13" spans="1:2">
      <c r="A13" t="s">
        <v>36</v>
      </c>
      <c r="B13" s="5">
        <v>53318</v>
      </c>
    </row>
    <row r="14" spans="1:2">
      <c r="A14" t="s">
        <v>70</v>
      </c>
      <c r="B14" s="5">
        <v>633192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EA5B3-9C06-4EBC-99C1-5E2A6C1B994A}">
  <dimension ref="A4:M65"/>
  <sheetViews>
    <sheetView topLeftCell="C15" workbookViewId="0">
      <selection activeCell="I26" sqref="I26"/>
    </sheetView>
  </sheetViews>
  <sheetFormatPr defaultRowHeight="15"/>
  <cols>
    <col min="1" max="1" width="19" bestFit="1" customWidth="1"/>
    <col min="2" max="2" width="18" bestFit="1" customWidth="1"/>
    <col min="3" max="4" width="19" bestFit="1" customWidth="1"/>
    <col min="5" max="12" width="18.140625" bestFit="1" customWidth="1"/>
    <col min="13" max="13" width="19.28515625" bestFit="1" customWidth="1"/>
  </cols>
  <sheetData>
    <row r="4" spans="1:12">
      <c r="A4" s="4" t="s">
        <v>71</v>
      </c>
      <c r="B4" s="4" t="s">
        <v>3</v>
      </c>
    </row>
    <row r="5" spans="1:12">
      <c r="A5" s="4" t="s">
        <v>2</v>
      </c>
      <c r="B5" t="s">
        <v>39</v>
      </c>
      <c r="C5" t="s">
        <v>27</v>
      </c>
      <c r="D5" t="s">
        <v>41</v>
      </c>
      <c r="E5" t="s">
        <v>22</v>
      </c>
      <c r="F5" t="s">
        <v>30</v>
      </c>
      <c r="G5" t="s">
        <v>52</v>
      </c>
      <c r="H5" t="s">
        <v>18</v>
      </c>
      <c r="I5" t="s">
        <v>42</v>
      </c>
      <c r="J5" t="s">
        <v>32</v>
      </c>
      <c r="K5" t="s">
        <v>36</v>
      </c>
      <c r="L5" t="s">
        <v>70</v>
      </c>
    </row>
    <row r="6" spans="1:12">
      <c r="A6" t="s">
        <v>34</v>
      </c>
      <c r="B6" s="3">
        <v>620342592</v>
      </c>
      <c r="C6" s="3">
        <v>623851582</v>
      </c>
      <c r="D6" s="3">
        <v>557478300</v>
      </c>
      <c r="E6" s="3">
        <v>750818052</v>
      </c>
      <c r="F6" s="3">
        <v>705819415</v>
      </c>
      <c r="G6" s="3">
        <v>447131955</v>
      </c>
      <c r="H6" s="3">
        <v>515971043</v>
      </c>
      <c r="I6" s="3">
        <v>689114621</v>
      </c>
      <c r="J6" s="3">
        <v>596875332</v>
      </c>
      <c r="K6" s="3">
        <v>532617009</v>
      </c>
      <c r="L6" s="3">
        <v>6040019901</v>
      </c>
    </row>
    <row r="7" spans="1:12">
      <c r="A7" t="s">
        <v>40</v>
      </c>
      <c r="B7" s="3">
        <v>755587310</v>
      </c>
      <c r="C7" s="3">
        <v>416969698</v>
      </c>
      <c r="D7" s="3">
        <v>363633619</v>
      </c>
      <c r="E7" s="3">
        <v>467794112</v>
      </c>
      <c r="F7" s="3">
        <v>569370298</v>
      </c>
      <c r="G7" s="3">
        <v>606171240</v>
      </c>
      <c r="H7" s="3">
        <v>618721333</v>
      </c>
      <c r="I7" s="3">
        <v>551825128</v>
      </c>
      <c r="J7" s="3">
        <v>497603505</v>
      </c>
      <c r="K7" s="3">
        <v>610656494</v>
      </c>
      <c r="L7" s="3">
        <v>5458332737</v>
      </c>
    </row>
    <row r="8" spans="1:12">
      <c r="A8" t="s">
        <v>46</v>
      </c>
      <c r="B8" s="3">
        <v>582240109</v>
      </c>
      <c r="C8" s="3">
        <v>202029552</v>
      </c>
      <c r="D8" s="3">
        <v>456610101</v>
      </c>
      <c r="E8" s="3">
        <v>832783521</v>
      </c>
      <c r="F8" s="3">
        <v>614472428</v>
      </c>
      <c r="G8" s="3">
        <v>404928112</v>
      </c>
      <c r="H8" s="3">
        <v>615877737</v>
      </c>
      <c r="I8" s="3">
        <v>744270513</v>
      </c>
      <c r="J8" s="3">
        <v>250246990</v>
      </c>
      <c r="K8" s="3">
        <v>297930007</v>
      </c>
      <c r="L8" s="3">
        <v>5001389070</v>
      </c>
    </row>
    <row r="9" spans="1:12">
      <c r="A9" t="s">
        <v>38</v>
      </c>
      <c r="B9" s="3">
        <v>482950294</v>
      </c>
      <c r="C9" s="3">
        <v>384703665</v>
      </c>
      <c r="D9" s="3">
        <v>785643998</v>
      </c>
      <c r="E9" s="3">
        <v>422683538</v>
      </c>
      <c r="F9" s="3">
        <v>724598637</v>
      </c>
      <c r="G9" s="3">
        <v>443397785</v>
      </c>
      <c r="H9" s="3">
        <v>271312711</v>
      </c>
      <c r="I9" s="3">
        <v>532901044</v>
      </c>
      <c r="J9" s="3">
        <v>453558773</v>
      </c>
      <c r="K9" s="3">
        <v>442476885</v>
      </c>
      <c r="L9" s="3">
        <v>4944227330</v>
      </c>
    </row>
    <row r="10" spans="1:12">
      <c r="A10" t="s">
        <v>31</v>
      </c>
      <c r="B10" s="3">
        <v>395142483</v>
      </c>
      <c r="C10" s="3">
        <v>670494529</v>
      </c>
      <c r="D10" s="3">
        <v>614830112</v>
      </c>
      <c r="E10" s="3">
        <v>466957169</v>
      </c>
      <c r="F10" s="3">
        <v>253283965</v>
      </c>
      <c r="G10" s="3">
        <v>361294799</v>
      </c>
      <c r="H10" s="3">
        <v>612733668</v>
      </c>
      <c r="I10" s="3">
        <v>627126999</v>
      </c>
      <c r="J10" s="3">
        <v>553482754</v>
      </c>
      <c r="K10" s="3">
        <v>374669747</v>
      </c>
      <c r="L10" s="3">
        <v>4930016225</v>
      </c>
    </row>
    <row r="11" spans="1:12">
      <c r="A11" t="s">
        <v>17</v>
      </c>
      <c r="B11" s="3">
        <v>503828265</v>
      </c>
      <c r="C11" s="3">
        <v>250872088</v>
      </c>
      <c r="D11" s="3">
        <v>496022398</v>
      </c>
      <c r="E11" s="3">
        <v>590589013</v>
      </c>
      <c r="F11" s="3">
        <v>528987498</v>
      </c>
      <c r="G11" s="3">
        <v>460948428</v>
      </c>
      <c r="H11" s="3">
        <v>725473822</v>
      </c>
      <c r="I11" s="3">
        <v>505685749</v>
      </c>
      <c r="J11" s="3">
        <v>282790181</v>
      </c>
      <c r="K11" s="3">
        <v>177672444</v>
      </c>
      <c r="L11" s="3">
        <v>4522869886</v>
      </c>
    </row>
    <row r="12" spans="1:12">
      <c r="A12" t="s">
        <v>45</v>
      </c>
      <c r="B12" s="3">
        <v>356731603</v>
      </c>
      <c r="C12" s="3">
        <v>658295416</v>
      </c>
      <c r="D12" s="3">
        <v>198919927</v>
      </c>
      <c r="E12" s="3">
        <v>520322453</v>
      </c>
      <c r="F12" s="3">
        <v>640143937</v>
      </c>
      <c r="G12" s="3">
        <v>208961721</v>
      </c>
      <c r="H12" s="3">
        <v>348797519</v>
      </c>
      <c r="I12" s="3">
        <v>538401024</v>
      </c>
      <c r="J12" s="3">
        <v>654303313</v>
      </c>
      <c r="K12" s="3">
        <v>341298722</v>
      </c>
      <c r="L12" s="3">
        <v>4466175635</v>
      </c>
    </row>
    <row r="13" spans="1:12">
      <c r="A13" t="s">
        <v>26</v>
      </c>
      <c r="B13" s="3">
        <v>576238608</v>
      </c>
      <c r="C13" s="3">
        <v>359723671</v>
      </c>
      <c r="D13" s="3">
        <v>442444500</v>
      </c>
      <c r="E13" s="3">
        <v>397081150</v>
      </c>
      <c r="F13" s="3">
        <v>378083910</v>
      </c>
      <c r="G13" s="3">
        <v>133185517</v>
      </c>
      <c r="H13" s="3">
        <v>211400561</v>
      </c>
      <c r="I13" s="3">
        <v>307824846</v>
      </c>
      <c r="J13" s="3">
        <v>595927273</v>
      </c>
      <c r="K13" s="3">
        <v>734287072</v>
      </c>
      <c r="L13" s="3">
        <v>4136197108</v>
      </c>
    </row>
    <row r="14" spans="1:12">
      <c r="A14" t="s">
        <v>51</v>
      </c>
      <c r="B14" s="3">
        <v>412997553</v>
      </c>
      <c r="C14" s="3">
        <v>289134016</v>
      </c>
      <c r="D14" s="3">
        <v>563816344</v>
      </c>
      <c r="E14" s="3">
        <v>328793633</v>
      </c>
      <c r="F14" s="3">
        <v>113161599</v>
      </c>
      <c r="G14" s="3">
        <v>159468029</v>
      </c>
      <c r="H14" s="3">
        <v>495923756</v>
      </c>
      <c r="I14" s="3">
        <v>600840113</v>
      </c>
      <c r="J14" s="3">
        <v>703352077</v>
      </c>
      <c r="K14" s="3">
        <v>450401954</v>
      </c>
      <c r="L14" s="3">
        <v>4117889074</v>
      </c>
    </row>
    <row r="15" spans="1:12">
      <c r="A15" t="s">
        <v>44</v>
      </c>
      <c r="B15" s="3">
        <v>561509653</v>
      </c>
      <c r="C15" s="3">
        <v>395964817</v>
      </c>
      <c r="D15" s="3">
        <v>360535789</v>
      </c>
      <c r="E15" s="3">
        <v>534649672</v>
      </c>
      <c r="F15" s="3">
        <v>228944555</v>
      </c>
      <c r="G15" s="3">
        <v>602592287</v>
      </c>
      <c r="H15" s="3">
        <v>237599131</v>
      </c>
      <c r="I15" s="3">
        <v>496529319</v>
      </c>
      <c r="J15" s="3">
        <v>408840099</v>
      </c>
      <c r="K15" s="3">
        <v>245390182</v>
      </c>
      <c r="L15" s="3">
        <v>4072555504</v>
      </c>
    </row>
    <row r="16" spans="1:12">
      <c r="A16" t="s">
        <v>70</v>
      </c>
      <c r="B16" s="3">
        <v>5247568470</v>
      </c>
      <c r="C16" s="3">
        <v>4252039034</v>
      </c>
      <c r="D16" s="3">
        <v>4839935088</v>
      </c>
      <c r="E16" s="3">
        <v>5312472313</v>
      </c>
      <c r="F16" s="3">
        <v>4756866242</v>
      </c>
      <c r="G16" s="3">
        <v>3828079873</v>
      </c>
      <c r="H16" s="3">
        <v>4653811281</v>
      </c>
      <c r="I16" s="3">
        <v>5594519356</v>
      </c>
      <c r="J16" s="3">
        <v>4996980297</v>
      </c>
      <c r="K16" s="3">
        <v>4207400516</v>
      </c>
      <c r="L16" s="3">
        <v>47689672470</v>
      </c>
    </row>
    <row r="24" spans="3:3">
      <c r="C24" t="s">
        <v>72</v>
      </c>
    </row>
    <row r="65" spans="4:13">
      <c r="D65" s="3"/>
      <c r="E65" s="3"/>
      <c r="F65" s="3"/>
      <c r="G65" s="3"/>
      <c r="H65" s="3"/>
      <c r="I65" s="3"/>
      <c r="J65" s="3"/>
      <c r="K65" s="3"/>
      <c r="L65" s="3"/>
      <c r="M65" s="3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2426-2E12-4571-AAE9-827A96C847CB}">
  <dimension ref="A3:L48"/>
  <sheetViews>
    <sheetView topLeftCell="A8" workbookViewId="0">
      <selection activeCell="E24" sqref="E24"/>
    </sheetView>
  </sheetViews>
  <sheetFormatPr defaultRowHeight="15"/>
  <cols>
    <col min="1" max="1" width="19" bestFit="1" customWidth="1"/>
    <col min="2" max="11" width="16.42578125" bestFit="1" customWidth="1"/>
    <col min="12" max="12" width="18.140625" bestFit="1" customWidth="1"/>
    <col min="13" max="101" width="16.42578125" bestFit="1" customWidth="1"/>
    <col min="102" max="110" width="16.5703125" bestFit="1" customWidth="1"/>
    <col min="111" max="111" width="18.140625" bestFit="1" customWidth="1"/>
    <col min="112" max="112" width="19.28515625" bestFit="1" customWidth="1"/>
    <col min="113" max="121" width="16.5703125" bestFit="1" customWidth="1"/>
    <col min="122" max="122" width="18.140625" bestFit="1" customWidth="1"/>
    <col min="123" max="132" width="16.5703125" bestFit="1" customWidth="1"/>
    <col min="133" max="133" width="18.140625" bestFit="1" customWidth="1"/>
    <col min="134" max="134" width="19.28515625" bestFit="1" customWidth="1"/>
  </cols>
  <sheetData>
    <row r="3" spans="1:12">
      <c r="A3" s="4" t="s">
        <v>71</v>
      </c>
      <c r="B3" s="4" t="s">
        <v>3</v>
      </c>
    </row>
    <row r="4" spans="1:12">
      <c r="A4" s="4" t="s">
        <v>0</v>
      </c>
      <c r="B4" t="s">
        <v>39</v>
      </c>
      <c r="C4" t="s">
        <v>27</v>
      </c>
      <c r="D4" t="s">
        <v>41</v>
      </c>
      <c r="E4" t="s">
        <v>22</v>
      </c>
      <c r="F4" t="s">
        <v>30</v>
      </c>
      <c r="G4" t="s">
        <v>52</v>
      </c>
      <c r="H4" t="s">
        <v>18</v>
      </c>
      <c r="I4" t="s">
        <v>42</v>
      </c>
      <c r="J4" t="s">
        <v>32</v>
      </c>
      <c r="K4" t="s">
        <v>36</v>
      </c>
      <c r="L4" t="s">
        <v>70</v>
      </c>
    </row>
    <row r="5" spans="1:12">
      <c r="A5">
        <v>2015</v>
      </c>
      <c r="B5" s="3">
        <v>720698361</v>
      </c>
      <c r="C5" s="3">
        <v>391904393</v>
      </c>
      <c r="D5" s="3">
        <v>430685863</v>
      </c>
      <c r="E5" s="3">
        <v>766760077</v>
      </c>
      <c r="F5" s="3">
        <v>370292281</v>
      </c>
      <c r="G5" s="3">
        <v>201332298</v>
      </c>
      <c r="H5" s="3">
        <v>869311916</v>
      </c>
      <c r="I5" s="3">
        <v>840559193</v>
      </c>
      <c r="J5" s="3">
        <v>632357508</v>
      </c>
      <c r="K5" s="3">
        <v>529035253</v>
      </c>
      <c r="L5" s="3">
        <v>5752937143</v>
      </c>
    </row>
    <row r="6" spans="1:12">
      <c r="A6">
        <v>2016</v>
      </c>
      <c r="B6" s="3">
        <v>399462540</v>
      </c>
      <c r="C6" s="3">
        <v>471310792</v>
      </c>
      <c r="D6" s="3">
        <v>649741975</v>
      </c>
      <c r="E6" s="3">
        <v>435588102</v>
      </c>
      <c r="F6" s="3">
        <v>313261437</v>
      </c>
      <c r="G6" s="3">
        <v>218748238</v>
      </c>
      <c r="H6" s="3">
        <v>524643385</v>
      </c>
      <c r="I6" s="3">
        <v>272999617</v>
      </c>
      <c r="J6" s="3">
        <v>441256285</v>
      </c>
      <c r="K6" s="3">
        <v>234649332</v>
      </c>
      <c r="L6" s="3">
        <v>3961661703</v>
      </c>
    </row>
    <row r="7" spans="1:12">
      <c r="A7">
        <v>2017</v>
      </c>
      <c r="B7" s="3">
        <v>454332147</v>
      </c>
      <c r="C7" s="3">
        <v>261989698</v>
      </c>
      <c r="D7" s="3">
        <v>421303727</v>
      </c>
      <c r="E7" s="3">
        <v>766683351</v>
      </c>
      <c r="F7" s="3">
        <v>425548367</v>
      </c>
      <c r="G7" s="3">
        <v>885546739</v>
      </c>
      <c r="H7" s="3">
        <v>314892161</v>
      </c>
      <c r="I7" s="3">
        <v>843957286</v>
      </c>
      <c r="J7" s="3">
        <v>673212718</v>
      </c>
      <c r="K7" s="3">
        <v>343574306</v>
      </c>
      <c r="L7" s="3">
        <v>5391040500</v>
      </c>
    </row>
    <row r="8" spans="1:12">
      <c r="A8">
        <v>2018</v>
      </c>
      <c r="B8" s="3">
        <v>545854335</v>
      </c>
      <c r="C8" s="3">
        <v>403394221</v>
      </c>
      <c r="D8" s="3">
        <v>171606288</v>
      </c>
      <c r="E8" s="3">
        <v>645149407</v>
      </c>
      <c r="F8" s="3">
        <v>442012574</v>
      </c>
      <c r="G8" s="3">
        <v>275555077</v>
      </c>
      <c r="H8" s="3">
        <v>185202219</v>
      </c>
      <c r="I8" s="3">
        <v>777913791</v>
      </c>
      <c r="J8" s="3">
        <v>555860881</v>
      </c>
      <c r="K8" s="3">
        <v>308770473</v>
      </c>
      <c r="L8" s="3">
        <v>4311319266</v>
      </c>
    </row>
    <row r="9" spans="1:12">
      <c r="A9">
        <v>2019</v>
      </c>
      <c r="B9" s="3">
        <v>448080607</v>
      </c>
      <c r="C9" s="3">
        <v>393976695</v>
      </c>
      <c r="D9" s="3">
        <v>669811047</v>
      </c>
      <c r="E9" s="3">
        <v>502059872</v>
      </c>
      <c r="F9" s="3">
        <v>646252846</v>
      </c>
      <c r="G9" s="3">
        <v>474878196</v>
      </c>
      <c r="H9" s="3">
        <v>491028985</v>
      </c>
      <c r="I9" s="3">
        <v>564698386</v>
      </c>
      <c r="J9" s="3">
        <v>390074369</v>
      </c>
      <c r="K9" s="3">
        <v>478632366</v>
      </c>
      <c r="L9" s="3">
        <v>5059493369</v>
      </c>
    </row>
    <row r="10" spans="1:12">
      <c r="A10">
        <v>2020</v>
      </c>
      <c r="B10" s="3">
        <v>325881137</v>
      </c>
      <c r="C10" s="3">
        <v>505654787</v>
      </c>
      <c r="D10" s="3">
        <v>607010316</v>
      </c>
      <c r="E10" s="3">
        <v>588461895</v>
      </c>
      <c r="F10" s="3">
        <v>512215244</v>
      </c>
      <c r="G10" s="3">
        <v>423480173</v>
      </c>
      <c r="H10" s="3">
        <v>436832455</v>
      </c>
      <c r="I10" s="3">
        <v>546656121</v>
      </c>
      <c r="J10" s="3">
        <v>356419931</v>
      </c>
      <c r="K10" s="3">
        <v>313886664</v>
      </c>
      <c r="L10" s="3">
        <v>4616498723</v>
      </c>
    </row>
    <row r="11" spans="1:12">
      <c r="A11">
        <v>2021</v>
      </c>
      <c r="B11" s="3">
        <v>777719579</v>
      </c>
      <c r="C11" s="3">
        <v>662698860</v>
      </c>
      <c r="D11" s="3">
        <v>528614421</v>
      </c>
      <c r="E11" s="3">
        <v>206546545</v>
      </c>
      <c r="F11" s="3">
        <v>489054398</v>
      </c>
      <c r="G11" s="3">
        <v>254986368</v>
      </c>
      <c r="H11" s="3">
        <v>357840578</v>
      </c>
      <c r="I11" s="3">
        <v>292506834</v>
      </c>
      <c r="J11" s="3">
        <v>457702758</v>
      </c>
      <c r="K11" s="3">
        <v>504071117</v>
      </c>
      <c r="L11" s="3">
        <v>4531741458</v>
      </c>
    </row>
    <row r="12" spans="1:12">
      <c r="A12">
        <v>2022</v>
      </c>
      <c r="B12" s="3">
        <v>509848399</v>
      </c>
      <c r="C12" s="3">
        <v>622402318</v>
      </c>
      <c r="D12" s="3">
        <v>274050817</v>
      </c>
      <c r="E12" s="3">
        <v>560821028</v>
      </c>
      <c r="F12" s="3">
        <v>462953103</v>
      </c>
      <c r="G12" s="3">
        <v>285445704</v>
      </c>
      <c r="H12" s="3">
        <v>509291268</v>
      </c>
      <c r="I12" s="3">
        <v>431919213</v>
      </c>
      <c r="J12" s="3">
        <v>443759922</v>
      </c>
      <c r="K12" s="3">
        <v>452987215</v>
      </c>
      <c r="L12" s="3">
        <v>4553478987</v>
      </c>
    </row>
    <row r="13" spans="1:12">
      <c r="A13">
        <v>2023</v>
      </c>
      <c r="B13" s="3">
        <v>549799337</v>
      </c>
      <c r="C13" s="3">
        <v>194221739</v>
      </c>
      <c r="D13" s="3">
        <v>428997784</v>
      </c>
      <c r="E13" s="3">
        <v>451682031</v>
      </c>
      <c r="F13" s="3">
        <v>489399849</v>
      </c>
      <c r="G13" s="3">
        <v>352358291</v>
      </c>
      <c r="H13" s="3">
        <v>484564793</v>
      </c>
      <c r="I13" s="3">
        <v>375105474</v>
      </c>
      <c r="J13" s="3">
        <v>509676869</v>
      </c>
      <c r="K13" s="3">
        <v>550500519</v>
      </c>
      <c r="L13" s="3">
        <v>4386306686</v>
      </c>
    </row>
    <row r="14" spans="1:12">
      <c r="A14">
        <v>2024</v>
      </c>
      <c r="B14" s="3">
        <v>515892028</v>
      </c>
      <c r="C14" s="3">
        <v>344485531</v>
      </c>
      <c r="D14" s="3">
        <v>658112850</v>
      </c>
      <c r="E14" s="3">
        <v>388720005</v>
      </c>
      <c r="F14" s="3">
        <v>605876143</v>
      </c>
      <c r="G14" s="3">
        <v>455748789</v>
      </c>
      <c r="H14" s="3">
        <v>480203521</v>
      </c>
      <c r="I14" s="3">
        <v>648203441</v>
      </c>
      <c r="J14" s="3">
        <v>536659056</v>
      </c>
      <c r="K14" s="3">
        <v>491293271</v>
      </c>
      <c r="L14" s="3">
        <v>5125194635</v>
      </c>
    </row>
    <row r="17" spans="1:1">
      <c r="A17" s="4" t="s">
        <v>3</v>
      </c>
    </row>
    <row r="18" spans="1:1">
      <c r="A18" t="s">
        <v>39</v>
      </c>
    </row>
    <row r="19" spans="1:1">
      <c r="A19" t="s">
        <v>27</v>
      </c>
    </row>
    <row r="20" spans="1:1">
      <c r="A20" t="s">
        <v>41</v>
      </c>
    </row>
    <row r="21" spans="1:1">
      <c r="A21" t="s">
        <v>22</v>
      </c>
    </row>
    <row r="22" spans="1:1">
      <c r="A22" t="s">
        <v>30</v>
      </c>
    </row>
    <row r="23" spans="1:1">
      <c r="A23" t="s">
        <v>52</v>
      </c>
    </row>
    <row r="24" spans="1:1">
      <c r="A24" t="s">
        <v>18</v>
      </c>
    </row>
    <row r="25" spans="1:1">
      <c r="A25" t="s">
        <v>42</v>
      </c>
    </row>
    <row r="26" spans="1:1">
      <c r="A26" t="s">
        <v>32</v>
      </c>
    </row>
    <row r="27" spans="1:1">
      <c r="A27" t="s">
        <v>36</v>
      </c>
    </row>
    <row r="38" spans="1:2">
      <c r="A38" s="4" t="s">
        <v>0</v>
      </c>
      <c r="B38" t="s">
        <v>71</v>
      </c>
    </row>
    <row r="39" spans="1:2">
      <c r="A39">
        <v>2015</v>
      </c>
      <c r="B39" s="3">
        <v>5752937143</v>
      </c>
    </row>
    <row r="40" spans="1:2">
      <c r="A40">
        <v>2016</v>
      </c>
      <c r="B40" s="3">
        <v>3961661703</v>
      </c>
    </row>
    <row r="41" spans="1:2">
      <c r="A41">
        <v>2017</v>
      </c>
      <c r="B41" s="3">
        <v>5391040500</v>
      </c>
    </row>
    <row r="42" spans="1:2">
      <c r="A42">
        <v>2018</v>
      </c>
      <c r="B42" s="3">
        <v>4311319266</v>
      </c>
    </row>
    <row r="43" spans="1:2">
      <c r="A43">
        <v>2019</v>
      </c>
      <c r="B43" s="3">
        <v>5059493369</v>
      </c>
    </row>
    <row r="44" spans="1:2">
      <c r="A44">
        <v>2020</v>
      </c>
      <c r="B44" s="3">
        <v>4616498723</v>
      </c>
    </row>
    <row r="45" spans="1:2">
      <c r="A45">
        <v>2021</v>
      </c>
      <c r="B45" s="3">
        <v>4531741458</v>
      </c>
    </row>
    <row r="46" spans="1:2">
      <c r="A46">
        <v>2022</v>
      </c>
      <c r="B46" s="3">
        <v>4553478987</v>
      </c>
    </row>
    <row r="47" spans="1:2">
      <c r="A47">
        <v>2023</v>
      </c>
      <c r="B47" s="3">
        <v>4386306686</v>
      </c>
    </row>
    <row r="48" spans="1:2">
      <c r="A48">
        <v>2024</v>
      </c>
      <c r="B48" s="3">
        <v>5125194635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6E32-CCD5-49DE-8A6C-6C11555E564D}">
  <dimension ref="A3:B16"/>
  <sheetViews>
    <sheetView topLeftCell="A9" workbookViewId="0">
      <selection activeCell="A3" sqref="A3"/>
    </sheetView>
  </sheetViews>
  <sheetFormatPr defaultRowHeight="15"/>
  <cols>
    <col min="1" max="1" width="11.42578125" bestFit="1" customWidth="1"/>
    <col min="2" max="2" width="19.28515625" bestFit="1" customWidth="1"/>
    <col min="3" max="11" width="18.140625" bestFit="1" customWidth="1"/>
    <col min="12" max="12" width="19.28515625" bestFit="1" customWidth="1"/>
  </cols>
  <sheetData>
    <row r="3" spans="1:2">
      <c r="A3" s="4" t="s">
        <v>1</v>
      </c>
      <c r="B3" t="s">
        <v>71</v>
      </c>
    </row>
    <row r="4" spans="1:2">
      <c r="A4" t="s">
        <v>16</v>
      </c>
      <c r="B4" s="3">
        <v>4040404489</v>
      </c>
    </row>
    <row r="5" spans="1:2">
      <c r="A5" t="s">
        <v>53</v>
      </c>
      <c r="B5" s="3">
        <v>4658820976</v>
      </c>
    </row>
    <row r="6" spans="1:2">
      <c r="A6" t="s">
        <v>49</v>
      </c>
      <c r="B6" s="3">
        <v>3984022388</v>
      </c>
    </row>
    <row r="7" spans="1:2">
      <c r="A7" t="s">
        <v>35</v>
      </c>
      <c r="B7" s="3">
        <v>3211902389</v>
      </c>
    </row>
    <row r="8" spans="1:2">
      <c r="A8" t="s">
        <v>37</v>
      </c>
      <c r="B8" s="3">
        <v>3790027995</v>
      </c>
    </row>
    <row r="9" spans="1:2">
      <c r="A9" t="s">
        <v>48</v>
      </c>
      <c r="B9" s="3">
        <v>3703459467</v>
      </c>
    </row>
    <row r="10" spans="1:2">
      <c r="A10" t="s">
        <v>50</v>
      </c>
      <c r="B10" s="3">
        <v>3745579882</v>
      </c>
    </row>
    <row r="11" spans="1:2">
      <c r="A11" t="s">
        <v>21</v>
      </c>
      <c r="B11" s="3">
        <v>3935024568</v>
      </c>
    </row>
    <row r="12" spans="1:2">
      <c r="A12" t="s">
        <v>47</v>
      </c>
      <c r="B12" s="3">
        <v>3764483821</v>
      </c>
    </row>
    <row r="13" spans="1:2">
      <c r="A13" t="s">
        <v>43</v>
      </c>
      <c r="B13" s="3">
        <v>3766028345</v>
      </c>
    </row>
    <row r="14" spans="1:2">
      <c r="A14" t="s">
        <v>29</v>
      </c>
      <c r="B14" s="3">
        <v>4299379444</v>
      </c>
    </row>
    <row r="15" spans="1:2">
      <c r="A15" t="s">
        <v>25</v>
      </c>
      <c r="B15" s="3">
        <v>4790538706</v>
      </c>
    </row>
    <row r="16" spans="1:2">
      <c r="A16" t="s">
        <v>70</v>
      </c>
      <c r="B16" s="3">
        <v>47689672470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D3DF-B785-4771-99B2-A537AFAFD222}">
  <dimension ref="A3:Q232"/>
  <sheetViews>
    <sheetView topLeftCell="A43" workbookViewId="0">
      <selection activeCell="E14" sqref="E14"/>
    </sheetView>
  </sheetViews>
  <sheetFormatPr defaultRowHeight="15"/>
  <cols>
    <col min="1" max="1" width="11.42578125" bestFit="1" customWidth="1"/>
    <col min="2" max="2" width="8" bestFit="1" customWidth="1"/>
    <col min="3" max="3" width="17.140625" bestFit="1" customWidth="1"/>
    <col min="4" max="4" width="27.85546875" bestFit="1" customWidth="1"/>
    <col min="5" max="5" width="19.28515625" bestFit="1" customWidth="1"/>
    <col min="6" max="6" width="17.140625" bestFit="1" customWidth="1"/>
    <col min="7" max="7" width="27.85546875" bestFit="1" customWidth="1"/>
    <col min="8" max="8" width="20.85546875" bestFit="1" customWidth="1"/>
    <col min="9" max="9" width="17.140625" bestFit="1" customWidth="1"/>
    <col min="10" max="10" width="27.85546875" bestFit="1" customWidth="1"/>
    <col min="11" max="11" width="20.85546875" bestFit="1" customWidth="1"/>
    <col min="12" max="12" width="17.140625" bestFit="1" customWidth="1"/>
    <col min="13" max="13" width="27.85546875" bestFit="1" customWidth="1"/>
    <col min="14" max="14" width="20.85546875" bestFit="1" customWidth="1"/>
    <col min="15" max="15" width="22.140625" bestFit="1" customWidth="1"/>
    <col min="16" max="16" width="32.85546875" bestFit="1" customWidth="1"/>
    <col min="17" max="17" width="25.85546875" bestFit="1" customWidth="1"/>
  </cols>
  <sheetData>
    <row r="3" spans="1:5">
      <c r="A3" s="4" t="s">
        <v>3</v>
      </c>
      <c r="B3" s="4" t="s">
        <v>0</v>
      </c>
      <c r="C3" t="s">
        <v>69</v>
      </c>
      <c r="D3" t="s">
        <v>73</v>
      </c>
      <c r="E3" t="s">
        <v>71</v>
      </c>
    </row>
    <row r="4" spans="1:5">
      <c r="A4" t="s">
        <v>39</v>
      </c>
      <c r="B4">
        <v>2015</v>
      </c>
      <c r="C4" s="5">
        <v>11196</v>
      </c>
      <c r="D4" s="3">
        <v>5612976</v>
      </c>
      <c r="E4" s="3">
        <v>720698361</v>
      </c>
    </row>
    <row r="5" spans="1:5">
      <c r="B5">
        <v>2016</v>
      </c>
      <c r="C5" s="5">
        <v>5450</v>
      </c>
      <c r="D5" s="3">
        <v>2607359</v>
      </c>
      <c r="E5" s="3">
        <v>399462540</v>
      </c>
    </row>
    <row r="6" spans="1:5">
      <c r="B6">
        <v>2017</v>
      </c>
      <c r="C6" s="5">
        <v>7292</v>
      </c>
      <c r="D6" s="3">
        <v>3617488</v>
      </c>
      <c r="E6" s="3">
        <v>454332147</v>
      </c>
    </row>
    <row r="7" spans="1:5">
      <c r="B7">
        <v>2018</v>
      </c>
      <c r="C7" s="5">
        <v>6989</v>
      </c>
      <c r="D7" s="3">
        <v>3207702</v>
      </c>
      <c r="E7" s="3">
        <v>545854335</v>
      </c>
    </row>
    <row r="8" spans="1:5">
      <c r="B8">
        <v>2019</v>
      </c>
      <c r="C8" s="5">
        <v>5387</v>
      </c>
      <c r="D8" s="3">
        <v>2448854</v>
      </c>
      <c r="E8" s="3">
        <v>448080607</v>
      </c>
    </row>
    <row r="9" spans="1:5">
      <c r="B9">
        <v>2020</v>
      </c>
      <c r="C9" s="5">
        <v>4614</v>
      </c>
      <c r="D9" s="3">
        <v>2280005</v>
      </c>
      <c r="E9" s="3">
        <v>325881137</v>
      </c>
    </row>
    <row r="10" spans="1:5">
      <c r="B10">
        <v>2021</v>
      </c>
      <c r="C10" s="5">
        <v>9580</v>
      </c>
      <c r="D10" s="3">
        <v>4117548</v>
      </c>
      <c r="E10" s="3">
        <v>777719579</v>
      </c>
    </row>
    <row r="11" spans="1:5">
      <c r="B11">
        <v>2022</v>
      </c>
      <c r="C11" s="5">
        <v>6940</v>
      </c>
      <c r="D11" s="3">
        <v>3269628</v>
      </c>
      <c r="E11" s="3">
        <v>509848399</v>
      </c>
    </row>
    <row r="12" spans="1:5">
      <c r="B12">
        <v>2023</v>
      </c>
      <c r="C12" s="5">
        <v>6922</v>
      </c>
      <c r="D12" s="3">
        <v>3335020</v>
      </c>
      <c r="E12" s="3">
        <v>549799337</v>
      </c>
    </row>
    <row r="13" spans="1:5">
      <c r="B13">
        <v>2024</v>
      </c>
      <c r="C13" s="5">
        <v>6516</v>
      </c>
      <c r="D13" s="3">
        <v>3864075</v>
      </c>
      <c r="E13" s="3">
        <v>515892028</v>
      </c>
    </row>
    <row r="14" spans="1:5">
      <c r="A14" t="s">
        <v>74</v>
      </c>
      <c r="C14" s="5">
        <v>70886</v>
      </c>
      <c r="D14" s="3">
        <v>34360655</v>
      </c>
      <c r="E14" s="3">
        <v>5247568470</v>
      </c>
    </row>
    <row r="15" spans="1:5">
      <c r="A15" t="s">
        <v>27</v>
      </c>
      <c r="B15">
        <v>2015</v>
      </c>
      <c r="C15" s="5">
        <v>5024</v>
      </c>
      <c r="D15" s="3">
        <v>1970152</v>
      </c>
      <c r="E15" s="3">
        <v>391904393</v>
      </c>
    </row>
    <row r="16" spans="1:5">
      <c r="B16">
        <v>2016</v>
      </c>
      <c r="C16" s="5">
        <v>7021</v>
      </c>
      <c r="D16" s="3">
        <v>1542855</v>
      </c>
      <c r="E16" s="3">
        <v>471310792</v>
      </c>
    </row>
    <row r="17" spans="1:5">
      <c r="B17">
        <v>2017</v>
      </c>
      <c r="C17" s="5">
        <v>2724</v>
      </c>
      <c r="D17" s="3">
        <v>1580033</v>
      </c>
      <c r="E17" s="3">
        <v>261989698</v>
      </c>
    </row>
    <row r="18" spans="1:5">
      <c r="B18">
        <v>2018</v>
      </c>
      <c r="C18" s="5">
        <v>5729</v>
      </c>
      <c r="D18" s="3">
        <v>3349820</v>
      </c>
      <c r="E18" s="3">
        <v>403394221</v>
      </c>
    </row>
    <row r="19" spans="1:5">
      <c r="B19">
        <v>2019</v>
      </c>
      <c r="C19" s="5">
        <v>5909</v>
      </c>
      <c r="D19" s="3">
        <v>3374496</v>
      </c>
      <c r="E19" s="3">
        <v>393976695</v>
      </c>
    </row>
    <row r="20" spans="1:5">
      <c r="B20">
        <v>2020</v>
      </c>
      <c r="C20" s="5">
        <v>6880</v>
      </c>
      <c r="D20" s="3">
        <v>2116070</v>
      </c>
      <c r="E20" s="3">
        <v>505654787</v>
      </c>
    </row>
    <row r="21" spans="1:5">
      <c r="B21">
        <v>2021</v>
      </c>
      <c r="C21" s="5">
        <v>7984</v>
      </c>
      <c r="D21" s="3">
        <v>2871843</v>
      </c>
      <c r="E21" s="3">
        <v>662698860</v>
      </c>
    </row>
    <row r="22" spans="1:5">
      <c r="B22">
        <v>2022</v>
      </c>
      <c r="C22" s="5">
        <v>8876</v>
      </c>
      <c r="D22" s="3">
        <v>2953502</v>
      </c>
      <c r="E22" s="3">
        <v>622402318</v>
      </c>
    </row>
    <row r="23" spans="1:5">
      <c r="B23">
        <v>2023</v>
      </c>
      <c r="C23" s="5">
        <v>3047</v>
      </c>
      <c r="D23" s="3">
        <v>1868844</v>
      </c>
      <c r="E23" s="3">
        <v>194221739</v>
      </c>
    </row>
    <row r="24" spans="1:5">
      <c r="B24">
        <v>2024</v>
      </c>
      <c r="C24" s="5">
        <v>5950</v>
      </c>
      <c r="D24" s="3">
        <v>2358507</v>
      </c>
      <c r="E24" s="3">
        <v>344485531</v>
      </c>
    </row>
    <row r="25" spans="1:5">
      <c r="A25" t="s">
        <v>75</v>
      </c>
      <c r="C25" s="5">
        <v>59144</v>
      </c>
      <c r="D25" s="3">
        <v>23986122</v>
      </c>
      <c r="E25" s="3">
        <v>4252039034</v>
      </c>
    </row>
    <row r="26" spans="1:5">
      <c r="A26" t="s">
        <v>41</v>
      </c>
      <c r="B26">
        <v>2015</v>
      </c>
      <c r="C26" s="5">
        <v>5626</v>
      </c>
      <c r="D26" s="3">
        <v>4202783</v>
      </c>
      <c r="E26" s="3">
        <v>430685863</v>
      </c>
    </row>
    <row r="27" spans="1:5">
      <c r="B27">
        <v>2016</v>
      </c>
      <c r="C27" s="5">
        <v>7859</v>
      </c>
      <c r="D27" s="3">
        <v>3282667</v>
      </c>
      <c r="E27" s="3">
        <v>649741975</v>
      </c>
    </row>
    <row r="28" spans="1:5">
      <c r="B28">
        <v>2017</v>
      </c>
      <c r="C28" s="5">
        <v>5589</v>
      </c>
      <c r="D28" s="3">
        <v>2288095</v>
      </c>
      <c r="E28" s="3">
        <v>421303727</v>
      </c>
    </row>
    <row r="29" spans="1:5">
      <c r="B29">
        <v>2018</v>
      </c>
      <c r="C29" s="5">
        <v>2319</v>
      </c>
      <c r="D29" s="3">
        <v>1788600</v>
      </c>
      <c r="E29" s="3">
        <v>171606288</v>
      </c>
    </row>
    <row r="30" spans="1:5">
      <c r="B30">
        <v>2019</v>
      </c>
      <c r="C30" s="5">
        <v>10026</v>
      </c>
      <c r="D30" s="3">
        <v>4223939</v>
      </c>
      <c r="E30" s="3">
        <v>669811047</v>
      </c>
    </row>
    <row r="31" spans="1:5">
      <c r="B31">
        <v>2020</v>
      </c>
      <c r="C31" s="5">
        <v>8290</v>
      </c>
      <c r="D31" s="3">
        <v>3250688</v>
      </c>
      <c r="E31" s="3">
        <v>607010316</v>
      </c>
    </row>
    <row r="32" spans="1:5">
      <c r="B32">
        <v>2021</v>
      </c>
      <c r="C32" s="5">
        <v>6816</v>
      </c>
      <c r="D32" s="3">
        <v>2477108</v>
      </c>
      <c r="E32" s="3">
        <v>528614421</v>
      </c>
    </row>
    <row r="33" spans="1:5">
      <c r="B33">
        <v>2022</v>
      </c>
      <c r="C33" s="5">
        <v>3980</v>
      </c>
      <c r="D33" s="3">
        <v>2368323</v>
      </c>
      <c r="E33" s="3">
        <v>274050817</v>
      </c>
    </row>
    <row r="34" spans="1:5">
      <c r="B34">
        <v>2023</v>
      </c>
      <c r="C34" s="5">
        <v>5387</v>
      </c>
      <c r="D34" s="3">
        <v>2720783</v>
      </c>
      <c r="E34" s="3">
        <v>428997784</v>
      </c>
    </row>
    <row r="35" spans="1:5">
      <c r="B35">
        <v>2024</v>
      </c>
      <c r="C35" s="5">
        <v>9179</v>
      </c>
      <c r="D35" s="3">
        <v>3805501</v>
      </c>
      <c r="E35" s="3">
        <v>658112850</v>
      </c>
    </row>
    <row r="36" spans="1:5">
      <c r="A36" t="s">
        <v>76</v>
      </c>
      <c r="C36" s="5">
        <v>65071</v>
      </c>
      <c r="D36" s="3">
        <v>30408487</v>
      </c>
      <c r="E36" s="3">
        <v>4839935088</v>
      </c>
    </row>
    <row r="37" spans="1:5">
      <c r="A37" t="s">
        <v>22</v>
      </c>
      <c r="B37">
        <v>2015</v>
      </c>
      <c r="C37" s="5">
        <v>7513</v>
      </c>
      <c r="D37" s="3">
        <v>2942673</v>
      </c>
      <c r="E37" s="3">
        <v>766760077</v>
      </c>
    </row>
    <row r="38" spans="1:5">
      <c r="B38">
        <v>2016</v>
      </c>
      <c r="C38" s="5">
        <v>6800</v>
      </c>
      <c r="D38" s="3">
        <v>2617615</v>
      </c>
      <c r="E38" s="3">
        <v>435588102</v>
      </c>
    </row>
    <row r="39" spans="1:5">
      <c r="B39">
        <v>2017</v>
      </c>
      <c r="C39" s="5">
        <v>8321</v>
      </c>
      <c r="D39" s="3">
        <v>3882032</v>
      </c>
      <c r="E39" s="3">
        <v>766683351</v>
      </c>
    </row>
    <row r="40" spans="1:5">
      <c r="B40">
        <v>2018</v>
      </c>
      <c r="C40" s="5">
        <v>11044</v>
      </c>
      <c r="D40" s="3">
        <v>5050403</v>
      </c>
      <c r="E40" s="3">
        <v>645149407</v>
      </c>
    </row>
    <row r="41" spans="1:5">
      <c r="B41">
        <v>2019</v>
      </c>
      <c r="C41" s="5">
        <v>6403</v>
      </c>
      <c r="D41" s="3">
        <v>2272784</v>
      </c>
      <c r="E41" s="3">
        <v>502059872</v>
      </c>
    </row>
    <row r="42" spans="1:5">
      <c r="B42">
        <v>2020</v>
      </c>
      <c r="C42" s="5">
        <v>7263</v>
      </c>
      <c r="D42" s="3">
        <v>3409627</v>
      </c>
      <c r="E42" s="3">
        <v>588461895</v>
      </c>
    </row>
    <row r="43" spans="1:5">
      <c r="B43">
        <v>2021</v>
      </c>
      <c r="C43" s="5">
        <v>2925</v>
      </c>
      <c r="D43" s="3">
        <v>1508866</v>
      </c>
      <c r="E43" s="3">
        <v>206546545</v>
      </c>
    </row>
    <row r="44" spans="1:5">
      <c r="B44">
        <v>2022</v>
      </c>
      <c r="C44" s="5">
        <v>7192</v>
      </c>
      <c r="D44" s="3">
        <v>3083473</v>
      </c>
      <c r="E44" s="3">
        <v>560821028</v>
      </c>
    </row>
    <row r="45" spans="1:5">
      <c r="B45">
        <v>2023</v>
      </c>
      <c r="C45" s="5">
        <v>6457</v>
      </c>
      <c r="D45" s="3">
        <v>3377085</v>
      </c>
      <c r="E45" s="3">
        <v>451682031</v>
      </c>
    </row>
    <row r="46" spans="1:5">
      <c r="B46">
        <v>2024</v>
      </c>
      <c r="C46" s="5">
        <v>5610</v>
      </c>
      <c r="D46" s="3">
        <v>2258436</v>
      </c>
      <c r="E46" s="3">
        <v>388720005</v>
      </c>
    </row>
    <row r="47" spans="1:5">
      <c r="A47" t="s">
        <v>77</v>
      </c>
      <c r="C47" s="5">
        <v>69528</v>
      </c>
      <c r="D47" s="3">
        <v>30402994</v>
      </c>
      <c r="E47" s="3">
        <v>5312472313</v>
      </c>
    </row>
    <row r="48" spans="1:5">
      <c r="A48" t="s">
        <v>30</v>
      </c>
      <c r="B48">
        <v>2015</v>
      </c>
      <c r="C48" s="5">
        <v>5199</v>
      </c>
      <c r="D48" s="3">
        <v>1628526</v>
      </c>
      <c r="E48" s="3">
        <v>370292281</v>
      </c>
    </row>
    <row r="49" spans="1:5">
      <c r="B49">
        <v>2016</v>
      </c>
      <c r="C49" s="5">
        <v>4453</v>
      </c>
      <c r="D49" s="3">
        <v>1319996</v>
      </c>
      <c r="E49" s="3">
        <v>313261437</v>
      </c>
    </row>
    <row r="50" spans="1:5">
      <c r="B50">
        <v>2017</v>
      </c>
      <c r="C50" s="5">
        <v>4628</v>
      </c>
      <c r="D50" s="3">
        <v>2196969</v>
      </c>
      <c r="E50" s="3">
        <v>425548367</v>
      </c>
    </row>
    <row r="51" spans="1:5">
      <c r="B51">
        <v>2018</v>
      </c>
      <c r="C51" s="5">
        <v>5962</v>
      </c>
      <c r="D51" s="3">
        <v>2803172</v>
      </c>
      <c r="E51" s="3">
        <v>442012574</v>
      </c>
    </row>
    <row r="52" spans="1:5">
      <c r="B52">
        <v>2019</v>
      </c>
      <c r="C52" s="5">
        <v>10325</v>
      </c>
      <c r="D52" s="3">
        <v>3996929</v>
      </c>
      <c r="E52" s="3">
        <v>646252846</v>
      </c>
    </row>
    <row r="53" spans="1:5">
      <c r="B53">
        <v>2020</v>
      </c>
      <c r="C53" s="5">
        <v>6629</v>
      </c>
      <c r="D53" s="3">
        <v>2176990</v>
      </c>
      <c r="E53" s="3">
        <v>512215244</v>
      </c>
    </row>
    <row r="54" spans="1:5">
      <c r="B54">
        <v>2021</v>
      </c>
      <c r="C54" s="5">
        <v>5991</v>
      </c>
      <c r="D54" s="3">
        <v>3050233</v>
      </c>
      <c r="E54" s="3">
        <v>489054398</v>
      </c>
    </row>
    <row r="55" spans="1:5">
      <c r="B55">
        <v>2022</v>
      </c>
      <c r="C55" s="5">
        <v>6063</v>
      </c>
      <c r="D55" s="3">
        <v>4069723</v>
      </c>
      <c r="E55" s="3">
        <v>462953103</v>
      </c>
    </row>
    <row r="56" spans="1:5">
      <c r="B56">
        <v>2023</v>
      </c>
      <c r="C56" s="5">
        <v>7297</v>
      </c>
      <c r="D56" s="3">
        <v>2988858</v>
      </c>
      <c r="E56" s="3">
        <v>489399849</v>
      </c>
    </row>
    <row r="57" spans="1:5">
      <c r="B57">
        <v>2024</v>
      </c>
      <c r="C57" s="5">
        <v>7427</v>
      </c>
      <c r="D57" s="3">
        <v>3055929</v>
      </c>
      <c r="E57" s="3">
        <v>605876143</v>
      </c>
    </row>
    <row r="58" spans="1:5">
      <c r="A58" t="s">
        <v>78</v>
      </c>
      <c r="C58" s="5">
        <v>63974</v>
      </c>
      <c r="D58" s="3">
        <v>27287325</v>
      </c>
      <c r="E58" s="3">
        <v>4756866242</v>
      </c>
    </row>
    <row r="59" spans="1:5">
      <c r="A59" t="s">
        <v>52</v>
      </c>
      <c r="B59">
        <v>2015</v>
      </c>
      <c r="C59" s="5">
        <v>2998</v>
      </c>
      <c r="D59" s="3">
        <v>1098984</v>
      </c>
      <c r="E59" s="3">
        <v>201332298</v>
      </c>
    </row>
    <row r="60" spans="1:5">
      <c r="B60">
        <v>2016</v>
      </c>
      <c r="C60" s="5">
        <v>2475</v>
      </c>
      <c r="D60" s="3">
        <v>1157255</v>
      </c>
      <c r="E60" s="3">
        <v>218748238</v>
      </c>
    </row>
    <row r="61" spans="1:5">
      <c r="B61">
        <v>2017</v>
      </c>
      <c r="C61" s="5">
        <v>11753</v>
      </c>
      <c r="D61" s="3">
        <v>3383655</v>
      </c>
      <c r="E61" s="3">
        <v>885546739</v>
      </c>
    </row>
    <row r="62" spans="1:5">
      <c r="B62">
        <v>2018</v>
      </c>
      <c r="C62" s="5">
        <v>3711</v>
      </c>
      <c r="D62" s="3">
        <v>1291856</v>
      </c>
      <c r="E62" s="3">
        <v>275555077</v>
      </c>
    </row>
    <row r="63" spans="1:5">
      <c r="B63">
        <v>2019</v>
      </c>
      <c r="C63" s="5">
        <v>7067</v>
      </c>
      <c r="D63" s="3">
        <v>2195338</v>
      </c>
      <c r="E63" s="3">
        <v>474878196</v>
      </c>
    </row>
    <row r="64" spans="1:5">
      <c r="B64">
        <v>2020</v>
      </c>
      <c r="C64" s="5">
        <v>6125</v>
      </c>
      <c r="D64" s="3">
        <v>2257960</v>
      </c>
      <c r="E64" s="3">
        <v>423480173</v>
      </c>
    </row>
    <row r="65" spans="1:5">
      <c r="B65">
        <v>2021</v>
      </c>
      <c r="C65" s="5">
        <v>2891</v>
      </c>
      <c r="D65" s="3">
        <v>1875018</v>
      </c>
      <c r="E65" s="3">
        <v>254986368</v>
      </c>
    </row>
    <row r="66" spans="1:5">
      <c r="B66">
        <v>2022</v>
      </c>
      <c r="C66" s="5">
        <v>3472</v>
      </c>
      <c r="D66" s="3">
        <v>2195546</v>
      </c>
      <c r="E66" s="3">
        <v>285445704</v>
      </c>
    </row>
    <row r="67" spans="1:5">
      <c r="B67">
        <v>2023</v>
      </c>
      <c r="C67" s="5">
        <v>4715</v>
      </c>
      <c r="D67" s="3">
        <v>2057938</v>
      </c>
      <c r="E67" s="3">
        <v>352358291</v>
      </c>
    </row>
    <row r="68" spans="1:5">
      <c r="B68">
        <v>2024</v>
      </c>
      <c r="C68" s="5">
        <v>5860</v>
      </c>
      <c r="D68" s="3">
        <v>3155508</v>
      </c>
      <c r="E68" s="3">
        <v>455748789</v>
      </c>
    </row>
    <row r="69" spans="1:5">
      <c r="A69" t="s">
        <v>79</v>
      </c>
      <c r="C69" s="5">
        <v>51067</v>
      </c>
      <c r="D69" s="3">
        <v>20669058</v>
      </c>
      <c r="E69" s="3">
        <v>3828079873</v>
      </c>
    </row>
    <row r="70" spans="1:5">
      <c r="A70" t="s">
        <v>18</v>
      </c>
      <c r="B70">
        <v>2015</v>
      </c>
      <c r="C70" s="5">
        <v>11178</v>
      </c>
      <c r="D70" s="3">
        <v>4093314</v>
      </c>
      <c r="E70" s="3">
        <v>869311916</v>
      </c>
    </row>
    <row r="71" spans="1:5">
      <c r="B71">
        <v>2016</v>
      </c>
      <c r="C71" s="5">
        <v>7348</v>
      </c>
      <c r="D71" s="3">
        <v>3458068</v>
      </c>
      <c r="E71" s="3">
        <v>524643385</v>
      </c>
    </row>
    <row r="72" spans="1:5">
      <c r="B72">
        <v>2017</v>
      </c>
      <c r="C72" s="5">
        <v>4020</v>
      </c>
      <c r="D72" s="3">
        <v>1275752</v>
      </c>
      <c r="E72" s="3">
        <v>314892161</v>
      </c>
    </row>
    <row r="73" spans="1:5">
      <c r="B73">
        <v>2018</v>
      </c>
      <c r="C73" s="5">
        <v>2815</v>
      </c>
      <c r="D73" s="3">
        <v>1398268</v>
      </c>
      <c r="E73" s="3">
        <v>185202219</v>
      </c>
    </row>
    <row r="74" spans="1:5">
      <c r="B74">
        <v>2019</v>
      </c>
      <c r="C74" s="5">
        <v>7257</v>
      </c>
      <c r="D74" s="3">
        <v>2781203</v>
      </c>
      <c r="E74" s="3">
        <v>491028985</v>
      </c>
    </row>
    <row r="75" spans="1:5">
      <c r="B75">
        <v>2020</v>
      </c>
      <c r="C75" s="5">
        <v>5448</v>
      </c>
      <c r="D75" s="3">
        <v>2960898</v>
      </c>
      <c r="E75" s="3">
        <v>436832455</v>
      </c>
    </row>
    <row r="76" spans="1:5">
      <c r="B76">
        <v>2021</v>
      </c>
      <c r="C76" s="5">
        <v>3582</v>
      </c>
      <c r="D76" s="3">
        <v>1553351</v>
      </c>
      <c r="E76" s="3">
        <v>357840578</v>
      </c>
    </row>
    <row r="77" spans="1:5">
      <c r="B77">
        <v>2022</v>
      </c>
      <c r="C77" s="5">
        <v>6398</v>
      </c>
      <c r="D77" s="3">
        <v>3479046</v>
      </c>
      <c r="E77" s="3">
        <v>509291268</v>
      </c>
    </row>
    <row r="78" spans="1:5">
      <c r="B78">
        <v>2023</v>
      </c>
      <c r="C78" s="5">
        <v>6574</v>
      </c>
      <c r="D78" s="3">
        <v>3547467</v>
      </c>
      <c r="E78" s="3">
        <v>484564793</v>
      </c>
    </row>
    <row r="79" spans="1:5">
      <c r="B79">
        <v>2024</v>
      </c>
      <c r="C79" s="5">
        <v>6721</v>
      </c>
      <c r="D79" s="3">
        <v>2875727</v>
      </c>
      <c r="E79" s="3">
        <v>480203521</v>
      </c>
    </row>
    <row r="80" spans="1:5">
      <c r="A80" t="s">
        <v>80</v>
      </c>
      <c r="C80" s="5">
        <v>61341</v>
      </c>
      <c r="D80" s="3">
        <v>27423094</v>
      </c>
      <c r="E80" s="3">
        <v>4653811281</v>
      </c>
    </row>
    <row r="81" spans="1:5">
      <c r="A81" t="s">
        <v>42</v>
      </c>
      <c r="B81">
        <v>2015</v>
      </c>
      <c r="C81" s="5">
        <v>11756</v>
      </c>
      <c r="D81" s="3">
        <v>4131466</v>
      </c>
      <c r="E81" s="3">
        <v>840559193</v>
      </c>
    </row>
    <row r="82" spans="1:5">
      <c r="B82">
        <v>2016</v>
      </c>
      <c r="C82" s="5">
        <v>3956</v>
      </c>
      <c r="D82" s="3">
        <v>1721438</v>
      </c>
      <c r="E82" s="3">
        <v>272999617</v>
      </c>
    </row>
    <row r="83" spans="1:5">
      <c r="B83">
        <v>2017</v>
      </c>
      <c r="C83" s="5">
        <v>11375</v>
      </c>
      <c r="D83" s="3">
        <v>4322934</v>
      </c>
      <c r="E83" s="3">
        <v>843957286</v>
      </c>
    </row>
    <row r="84" spans="1:5">
      <c r="B84">
        <v>2018</v>
      </c>
      <c r="C84" s="5">
        <v>9817</v>
      </c>
      <c r="D84" s="3">
        <v>5114356</v>
      </c>
      <c r="E84" s="3">
        <v>777913791</v>
      </c>
    </row>
    <row r="85" spans="1:5">
      <c r="B85">
        <v>2019</v>
      </c>
      <c r="C85" s="5">
        <v>7716</v>
      </c>
      <c r="D85" s="3">
        <v>2444320</v>
      </c>
      <c r="E85" s="3">
        <v>564698386</v>
      </c>
    </row>
    <row r="86" spans="1:5">
      <c r="B86">
        <v>2020</v>
      </c>
      <c r="C86" s="5">
        <v>6828</v>
      </c>
      <c r="D86" s="3">
        <v>2374921</v>
      </c>
      <c r="E86" s="3">
        <v>546656121</v>
      </c>
    </row>
    <row r="87" spans="1:5">
      <c r="B87">
        <v>2021</v>
      </c>
      <c r="C87" s="5">
        <v>4143</v>
      </c>
      <c r="D87" s="3">
        <v>2269772</v>
      </c>
      <c r="E87" s="3">
        <v>292506834</v>
      </c>
    </row>
    <row r="88" spans="1:5">
      <c r="B88">
        <v>2022</v>
      </c>
      <c r="C88" s="5">
        <v>5673</v>
      </c>
      <c r="D88" s="3">
        <v>1951416</v>
      </c>
      <c r="E88" s="3">
        <v>431919213</v>
      </c>
    </row>
    <row r="89" spans="1:5">
      <c r="B89">
        <v>2023</v>
      </c>
      <c r="C89" s="5">
        <v>4092</v>
      </c>
      <c r="D89" s="3">
        <v>1473931</v>
      </c>
      <c r="E89" s="3">
        <v>375105474</v>
      </c>
    </row>
    <row r="90" spans="1:5">
      <c r="B90">
        <v>2024</v>
      </c>
      <c r="C90" s="5">
        <v>8002</v>
      </c>
      <c r="D90" s="3">
        <v>3200430</v>
      </c>
      <c r="E90" s="3">
        <v>648203441</v>
      </c>
    </row>
    <row r="91" spans="1:5">
      <c r="A91" t="s">
        <v>81</v>
      </c>
      <c r="C91" s="5">
        <v>73358</v>
      </c>
      <c r="D91" s="3">
        <v>29004984</v>
      </c>
      <c r="E91" s="3">
        <v>5594519356</v>
      </c>
    </row>
    <row r="92" spans="1:5">
      <c r="A92" t="s">
        <v>32</v>
      </c>
      <c r="B92">
        <v>2015</v>
      </c>
      <c r="C92" s="5">
        <v>8557</v>
      </c>
      <c r="D92" s="3">
        <v>4193794</v>
      </c>
      <c r="E92" s="3">
        <v>632357508</v>
      </c>
    </row>
    <row r="93" spans="1:5">
      <c r="B93">
        <v>2016</v>
      </c>
      <c r="C93" s="5">
        <v>5217</v>
      </c>
      <c r="D93" s="3">
        <v>2216946</v>
      </c>
      <c r="E93" s="3">
        <v>441256285</v>
      </c>
    </row>
    <row r="94" spans="1:5">
      <c r="B94">
        <v>2017</v>
      </c>
      <c r="C94" s="5">
        <v>10298</v>
      </c>
      <c r="D94" s="3">
        <v>5780051</v>
      </c>
      <c r="E94" s="3">
        <v>673212718</v>
      </c>
    </row>
    <row r="95" spans="1:5">
      <c r="B95">
        <v>2018</v>
      </c>
      <c r="C95" s="5">
        <v>6901</v>
      </c>
      <c r="D95" s="3">
        <v>3061931</v>
      </c>
      <c r="E95" s="3">
        <v>555860881</v>
      </c>
    </row>
    <row r="96" spans="1:5">
      <c r="B96">
        <v>2019</v>
      </c>
      <c r="C96" s="5">
        <v>5758</v>
      </c>
      <c r="D96" s="3">
        <v>2135663</v>
      </c>
      <c r="E96" s="3">
        <v>390074369</v>
      </c>
    </row>
    <row r="97" spans="1:5">
      <c r="B97">
        <v>2020</v>
      </c>
      <c r="C97" s="5">
        <v>4735</v>
      </c>
      <c r="D97" s="3">
        <v>2827238</v>
      </c>
      <c r="E97" s="3">
        <v>356419931</v>
      </c>
    </row>
    <row r="98" spans="1:5">
      <c r="B98">
        <v>2021</v>
      </c>
      <c r="C98" s="5">
        <v>5854</v>
      </c>
      <c r="D98" s="3">
        <v>1829025</v>
      </c>
      <c r="E98" s="3">
        <v>457702758</v>
      </c>
    </row>
    <row r="99" spans="1:5">
      <c r="B99">
        <v>2022</v>
      </c>
      <c r="C99" s="5">
        <v>5641</v>
      </c>
      <c r="D99" s="3">
        <v>2061746</v>
      </c>
      <c r="E99" s="3">
        <v>443759922</v>
      </c>
    </row>
    <row r="100" spans="1:5">
      <c r="B100">
        <v>2023</v>
      </c>
      <c r="C100" s="5">
        <v>5559</v>
      </c>
      <c r="D100" s="3">
        <v>2546109</v>
      </c>
      <c r="E100" s="3">
        <v>509676869</v>
      </c>
    </row>
    <row r="101" spans="1:5">
      <c r="B101">
        <v>2024</v>
      </c>
      <c r="C101" s="5">
        <v>6985</v>
      </c>
      <c r="D101" s="3">
        <v>3493343</v>
      </c>
      <c r="E101" s="3">
        <v>536659056</v>
      </c>
    </row>
    <row r="102" spans="1:5">
      <c r="A102" t="s">
        <v>82</v>
      </c>
      <c r="C102" s="5">
        <v>65505</v>
      </c>
      <c r="D102" s="3">
        <v>30145846</v>
      </c>
      <c r="E102" s="3">
        <v>4996980297</v>
      </c>
    </row>
    <row r="103" spans="1:5">
      <c r="A103" t="s">
        <v>36</v>
      </c>
      <c r="B103">
        <v>2015</v>
      </c>
      <c r="C103" s="5">
        <v>7110</v>
      </c>
      <c r="D103" s="3">
        <v>3812542</v>
      </c>
      <c r="E103" s="3">
        <v>529035253</v>
      </c>
    </row>
    <row r="104" spans="1:5">
      <c r="B104">
        <v>2016</v>
      </c>
      <c r="C104" s="5">
        <v>2670</v>
      </c>
      <c r="D104" s="3">
        <v>1456094</v>
      </c>
      <c r="E104" s="3">
        <v>234649332</v>
      </c>
    </row>
    <row r="105" spans="1:5">
      <c r="B105">
        <v>2017</v>
      </c>
      <c r="C105" s="5">
        <v>3755</v>
      </c>
      <c r="D105" s="3">
        <v>1655482</v>
      </c>
      <c r="E105" s="3">
        <v>343574306</v>
      </c>
    </row>
    <row r="106" spans="1:5">
      <c r="B106">
        <v>2018</v>
      </c>
      <c r="C106" s="5">
        <v>3455</v>
      </c>
      <c r="D106" s="3">
        <v>1782082</v>
      </c>
      <c r="E106" s="3">
        <v>308770473</v>
      </c>
    </row>
    <row r="107" spans="1:5">
      <c r="B107">
        <v>2019</v>
      </c>
      <c r="C107" s="5">
        <v>5241</v>
      </c>
      <c r="D107" s="3">
        <v>2135489</v>
      </c>
      <c r="E107" s="3">
        <v>478632366</v>
      </c>
    </row>
    <row r="108" spans="1:5">
      <c r="B108">
        <v>2020</v>
      </c>
      <c r="C108" s="5">
        <v>4845</v>
      </c>
      <c r="D108" s="3">
        <v>3191715</v>
      </c>
      <c r="E108" s="3">
        <v>313886664</v>
      </c>
    </row>
    <row r="109" spans="1:5">
      <c r="B109">
        <v>2021</v>
      </c>
      <c r="C109" s="5">
        <v>7133</v>
      </c>
      <c r="D109" s="3">
        <v>3010708</v>
      </c>
      <c r="E109" s="3">
        <v>504071117</v>
      </c>
    </row>
    <row r="110" spans="1:5">
      <c r="B110">
        <v>2022</v>
      </c>
      <c r="C110" s="5">
        <v>5933</v>
      </c>
      <c r="D110" s="3">
        <v>2706104</v>
      </c>
      <c r="E110" s="3">
        <v>452987215</v>
      </c>
    </row>
    <row r="111" spans="1:5">
      <c r="B111">
        <v>2023</v>
      </c>
      <c r="C111" s="5">
        <v>6986</v>
      </c>
      <c r="D111" s="3">
        <v>2868111</v>
      </c>
      <c r="E111" s="3">
        <v>550500519</v>
      </c>
    </row>
    <row r="112" spans="1:5">
      <c r="B112">
        <v>2024</v>
      </c>
      <c r="C112" s="5">
        <v>6190</v>
      </c>
      <c r="D112" s="3">
        <v>3185338</v>
      </c>
      <c r="E112" s="3">
        <v>491293271</v>
      </c>
    </row>
    <row r="113" spans="1:17">
      <c r="A113" t="s">
        <v>83</v>
      </c>
      <c r="C113" s="5">
        <v>53318</v>
      </c>
      <c r="D113" s="3">
        <v>25803665</v>
      </c>
      <c r="E113" s="3">
        <v>4207400516</v>
      </c>
    </row>
    <row r="114" spans="1:17">
      <c r="A114" t="s">
        <v>70</v>
      </c>
      <c r="C114" s="5">
        <v>633192</v>
      </c>
      <c r="D114" s="3">
        <v>279492230</v>
      </c>
      <c r="E114" s="3">
        <v>47689672470</v>
      </c>
    </row>
    <row r="119" spans="1:17">
      <c r="C119" s="4" t="s">
        <v>5</v>
      </c>
      <c r="D119" s="4" t="s">
        <v>84</v>
      </c>
    </row>
    <row r="120" spans="1:17">
      <c r="C120" t="s">
        <v>33</v>
      </c>
      <c r="F120" t="s">
        <v>24</v>
      </c>
      <c r="I120" t="s">
        <v>28</v>
      </c>
      <c r="L120" t="s">
        <v>20</v>
      </c>
      <c r="O120" t="s">
        <v>85</v>
      </c>
      <c r="P120" t="s">
        <v>86</v>
      </c>
      <c r="Q120" t="s">
        <v>87</v>
      </c>
    </row>
    <row r="121" spans="1:17">
      <c r="A121" s="4" t="s">
        <v>3</v>
      </c>
      <c r="B121" s="4" t="s">
        <v>0</v>
      </c>
      <c r="C121" t="s">
        <v>69</v>
      </c>
      <c r="D121" t="s">
        <v>73</v>
      </c>
      <c r="E121" t="s">
        <v>88</v>
      </c>
      <c r="F121" t="s">
        <v>69</v>
      </c>
      <c r="G121" t="s">
        <v>73</v>
      </c>
      <c r="H121" t="s">
        <v>88</v>
      </c>
      <c r="I121" t="s">
        <v>69</v>
      </c>
      <c r="J121" t="s">
        <v>73</v>
      </c>
      <c r="K121" t="s">
        <v>88</v>
      </c>
      <c r="L121" t="s">
        <v>69</v>
      </c>
      <c r="M121" t="s">
        <v>73</v>
      </c>
      <c r="N121" t="s">
        <v>88</v>
      </c>
    </row>
    <row r="122" spans="1:17">
      <c r="A122" t="s">
        <v>39</v>
      </c>
      <c r="B122">
        <v>2015</v>
      </c>
      <c r="C122" s="5">
        <v>3968</v>
      </c>
      <c r="D122" s="3">
        <v>2001352</v>
      </c>
      <c r="E122" s="3">
        <v>249497958</v>
      </c>
      <c r="F122" s="5"/>
      <c r="G122" s="3"/>
      <c r="H122" s="3"/>
      <c r="I122" s="5">
        <v>2621</v>
      </c>
      <c r="J122" s="3">
        <v>1609363</v>
      </c>
      <c r="K122" s="3">
        <v>135313777</v>
      </c>
      <c r="L122" s="5">
        <v>4607</v>
      </c>
      <c r="M122" s="3">
        <v>2002261</v>
      </c>
      <c r="N122" s="3">
        <v>341499602</v>
      </c>
      <c r="O122" s="5">
        <v>11196</v>
      </c>
      <c r="P122" s="3">
        <v>5612976</v>
      </c>
      <c r="Q122" s="3">
        <v>726311337</v>
      </c>
    </row>
    <row r="123" spans="1:17">
      <c r="B123">
        <v>2016</v>
      </c>
      <c r="C123" s="5">
        <v>883</v>
      </c>
      <c r="D123" s="3">
        <v>321189</v>
      </c>
      <c r="E123" s="3">
        <v>98350306</v>
      </c>
      <c r="F123" s="5">
        <v>3052</v>
      </c>
      <c r="G123" s="3">
        <v>1698478</v>
      </c>
      <c r="H123" s="3">
        <v>243326884</v>
      </c>
      <c r="I123" s="5">
        <v>1515</v>
      </c>
      <c r="J123" s="3">
        <v>587692</v>
      </c>
      <c r="K123" s="3">
        <v>60392709</v>
      </c>
      <c r="L123" s="5"/>
      <c r="M123" s="3"/>
      <c r="N123" s="3"/>
      <c r="O123" s="5">
        <v>5450</v>
      </c>
      <c r="P123" s="3">
        <v>2607359</v>
      </c>
      <c r="Q123" s="3">
        <v>402069899</v>
      </c>
    </row>
    <row r="124" spans="1:17">
      <c r="B124">
        <v>2017</v>
      </c>
      <c r="C124" s="5"/>
      <c r="D124" s="3"/>
      <c r="E124" s="3"/>
      <c r="F124" s="5">
        <v>1421</v>
      </c>
      <c r="G124" s="3">
        <v>741752</v>
      </c>
      <c r="H124" s="3">
        <v>95656050</v>
      </c>
      <c r="I124" s="5">
        <v>2952</v>
      </c>
      <c r="J124" s="3">
        <v>1055361</v>
      </c>
      <c r="K124" s="3">
        <v>163372107</v>
      </c>
      <c r="L124" s="5">
        <v>2919</v>
      </c>
      <c r="M124" s="3">
        <v>1820375</v>
      </c>
      <c r="N124" s="3">
        <v>198921478</v>
      </c>
      <c r="O124" s="5">
        <v>7292</v>
      </c>
      <c r="P124" s="3">
        <v>3617488</v>
      </c>
      <c r="Q124" s="3">
        <v>457949635</v>
      </c>
    </row>
    <row r="125" spans="1:17">
      <c r="B125">
        <v>2018</v>
      </c>
      <c r="C125" s="5">
        <v>496</v>
      </c>
      <c r="D125" s="3">
        <v>361714</v>
      </c>
      <c r="E125" s="3">
        <v>52968832</v>
      </c>
      <c r="F125" s="5">
        <v>1333</v>
      </c>
      <c r="G125" s="3">
        <v>960869</v>
      </c>
      <c r="H125" s="3">
        <v>99813758</v>
      </c>
      <c r="I125" s="5">
        <v>3095</v>
      </c>
      <c r="J125" s="3">
        <v>1051945</v>
      </c>
      <c r="K125" s="3">
        <v>249915297</v>
      </c>
      <c r="L125" s="5">
        <v>2065</v>
      </c>
      <c r="M125" s="3">
        <v>833174</v>
      </c>
      <c r="N125" s="3">
        <v>146364150</v>
      </c>
      <c r="O125" s="5">
        <v>6989</v>
      </c>
      <c r="P125" s="3">
        <v>3207702</v>
      </c>
      <c r="Q125" s="3">
        <v>549062037</v>
      </c>
    </row>
    <row r="126" spans="1:17">
      <c r="B126">
        <v>2019</v>
      </c>
      <c r="C126" s="5">
        <v>1354</v>
      </c>
      <c r="D126" s="3">
        <v>658879</v>
      </c>
      <c r="E126" s="3">
        <v>92239874</v>
      </c>
      <c r="F126" s="5">
        <v>1467</v>
      </c>
      <c r="G126" s="3">
        <v>606671</v>
      </c>
      <c r="H126" s="3">
        <v>85581056</v>
      </c>
      <c r="I126" s="5">
        <v>941</v>
      </c>
      <c r="J126" s="3">
        <v>304822</v>
      </c>
      <c r="K126" s="3">
        <v>98731602</v>
      </c>
      <c r="L126" s="5">
        <v>1625</v>
      </c>
      <c r="M126" s="3">
        <v>878482</v>
      </c>
      <c r="N126" s="3">
        <v>173976929</v>
      </c>
      <c r="O126" s="5">
        <v>5387</v>
      </c>
      <c r="P126" s="3">
        <v>2448854</v>
      </c>
      <c r="Q126" s="3">
        <v>450529461</v>
      </c>
    </row>
    <row r="127" spans="1:17">
      <c r="B127">
        <v>2020</v>
      </c>
      <c r="C127" s="5">
        <v>1415</v>
      </c>
      <c r="D127" s="3">
        <v>712722</v>
      </c>
      <c r="E127" s="3">
        <v>110544685</v>
      </c>
      <c r="F127" s="5">
        <v>1040</v>
      </c>
      <c r="G127" s="3">
        <v>586715</v>
      </c>
      <c r="H127" s="3">
        <v>67148988</v>
      </c>
      <c r="I127" s="5">
        <v>1311</v>
      </c>
      <c r="J127" s="3">
        <v>560626</v>
      </c>
      <c r="K127" s="3">
        <v>97321613</v>
      </c>
      <c r="L127" s="5">
        <v>848</v>
      </c>
      <c r="M127" s="3">
        <v>419942</v>
      </c>
      <c r="N127" s="3">
        <v>53145856</v>
      </c>
      <c r="O127" s="5">
        <v>4614</v>
      </c>
      <c r="P127" s="3">
        <v>2280005</v>
      </c>
      <c r="Q127" s="3">
        <v>328161142</v>
      </c>
    </row>
    <row r="128" spans="1:17">
      <c r="B128">
        <v>2021</v>
      </c>
      <c r="C128" s="5">
        <v>496</v>
      </c>
      <c r="D128" s="3">
        <v>82940</v>
      </c>
      <c r="E128" s="3">
        <v>58854368</v>
      </c>
      <c r="F128" s="5">
        <v>899</v>
      </c>
      <c r="G128" s="3">
        <v>215637</v>
      </c>
      <c r="H128" s="3">
        <v>74878609</v>
      </c>
      <c r="I128" s="5">
        <v>3838</v>
      </c>
      <c r="J128" s="3">
        <v>1825001</v>
      </c>
      <c r="K128" s="3">
        <v>298275960</v>
      </c>
      <c r="L128" s="5">
        <v>4347</v>
      </c>
      <c r="M128" s="3">
        <v>1993970</v>
      </c>
      <c r="N128" s="3">
        <v>349828190</v>
      </c>
      <c r="O128" s="5">
        <v>9580</v>
      </c>
      <c r="P128" s="3">
        <v>4117548</v>
      </c>
      <c r="Q128" s="3">
        <v>781837127</v>
      </c>
    </row>
    <row r="129" spans="1:17">
      <c r="B129">
        <v>2022</v>
      </c>
      <c r="C129" s="5">
        <v>1689</v>
      </c>
      <c r="D129" s="3">
        <v>532990</v>
      </c>
      <c r="E129" s="3">
        <v>111082996</v>
      </c>
      <c r="F129" s="5">
        <v>1661</v>
      </c>
      <c r="G129" s="3">
        <v>796442</v>
      </c>
      <c r="H129" s="3">
        <v>127326019</v>
      </c>
      <c r="I129" s="5">
        <v>2445</v>
      </c>
      <c r="J129" s="3">
        <v>995384</v>
      </c>
      <c r="K129" s="3">
        <v>207406662</v>
      </c>
      <c r="L129" s="5">
        <v>1145</v>
      </c>
      <c r="M129" s="3">
        <v>944812</v>
      </c>
      <c r="N129" s="3">
        <v>67302350</v>
      </c>
      <c r="O129" s="5">
        <v>6940</v>
      </c>
      <c r="P129" s="3">
        <v>3269628</v>
      </c>
      <c r="Q129" s="3">
        <v>513118027</v>
      </c>
    </row>
    <row r="130" spans="1:17">
      <c r="B130">
        <v>2023</v>
      </c>
      <c r="C130" s="5">
        <v>3030</v>
      </c>
      <c r="D130" s="3">
        <v>1014318</v>
      </c>
      <c r="E130" s="3">
        <v>261357811</v>
      </c>
      <c r="F130" s="5">
        <v>527</v>
      </c>
      <c r="G130" s="3">
        <v>755181</v>
      </c>
      <c r="H130" s="3">
        <v>29208469</v>
      </c>
      <c r="I130" s="5">
        <v>1261</v>
      </c>
      <c r="J130" s="3">
        <v>669715</v>
      </c>
      <c r="K130" s="3">
        <v>94720218</v>
      </c>
      <c r="L130" s="5">
        <v>2104</v>
      </c>
      <c r="M130" s="3">
        <v>895806</v>
      </c>
      <c r="N130" s="3">
        <v>167847859</v>
      </c>
      <c r="O130" s="5">
        <v>6922</v>
      </c>
      <c r="P130" s="3">
        <v>3335020</v>
      </c>
      <c r="Q130" s="3">
        <v>553134357</v>
      </c>
    </row>
    <row r="131" spans="1:17">
      <c r="B131">
        <v>2024</v>
      </c>
      <c r="C131" s="5">
        <v>1119</v>
      </c>
      <c r="D131" s="3">
        <v>628222</v>
      </c>
      <c r="E131" s="3">
        <v>64518175</v>
      </c>
      <c r="F131" s="5">
        <v>2530</v>
      </c>
      <c r="G131" s="3">
        <v>1456751</v>
      </c>
      <c r="H131" s="3">
        <v>204493595</v>
      </c>
      <c r="I131" s="5">
        <v>1113</v>
      </c>
      <c r="J131" s="3">
        <v>934138</v>
      </c>
      <c r="K131" s="3">
        <v>75541217</v>
      </c>
      <c r="L131" s="5">
        <v>1754</v>
      </c>
      <c r="M131" s="3">
        <v>844964</v>
      </c>
      <c r="N131" s="3">
        <v>175203116</v>
      </c>
      <c r="O131" s="5">
        <v>6516</v>
      </c>
      <c r="P131" s="3">
        <v>3864075</v>
      </c>
      <c r="Q131" s="3">
        <v>519756103</v>
      </c>
    </row>
    <row r="132" spans="1:17">
      <c r="A132" t="s">
        <v>74</v>
      </c>
      <c r="C132" s="5">
        <v>14450</v>
      </c>
      <c r="D132" s="3">
        <v>6314326</v>
      </c>
      <c r="E132" s="3">
        <v>1099415005</v>
      </c>
      <c r="F132" s="5">
        <v>13930</v>
      </c>
      <c r="G132" s="3">
        <v>7818496</v>
      </c>
      <c r="H132" s="3">
        <v>1027433428</v>
      </c>
      <c r="I132" s="5">
        <v>21092</v>
      </c>
      <c r="J132" s="3">
        <v>9594047</v>
      </c>
      <c r="K132" s="3">
        <v>1480991162</v>
      </c>
      <c r="L132" s="5">
        <v>21414</v>
      </c>
      <c r="M132" s="3">
        <v>10633786</v>
      </c>
      <c r="N132" s="3">
        <v>1674089530</v>
      </c>
      <c r="O132" s="5">
        <v>70886</v>
      </c>
      <c r="P132" s="3">
        <v>34360655</v>
      </c>
      <c r="Q132" s="3">
        <v>5281929125</v>
      </c>
    </row>
    <row r="133" spans="1:17">
      <c r="A133" t="s">
        <v>27</v>
      </c>
      <c r="B133">
        <v>2015</v>
      </c>
      <c r="C133" s="5">
        <v>1920</v>
      </c>
      <c r="D133" s="3">
        <v>299035</v>
      </c>
      <c r="E133" s="3">
        <v>145064262</v>
      </c>
      <c r="F133" s="5"/>
      <c r="G133" s="3"/>
      <c r="H133" s="3"/>
      <c r="I133" s="5">
        <v>1896</v>
      </c>
      <c r="J133" s="3">
        <v>1059070</v>
      </c>
      <c r="K133" s="3">
        <v>151185019</v>
      </c>
      <c r="L133" s="5">
        <v>1208</v>
      </c>
      <c r="M133" s="3">
        <v>612047</v>
      </c>
      <c r="N133" s="3">
        <v>97625264</v>
      </c>
      <c r="O133" s="5">
        <v>5024</v>
      </c>
      <c r="P133" s="3">
        <v>1970152</v>
      </c>
      <c r="Q133" s="3">
        <v>393874545</v>
      </c>
    </row>
    <row r="134" spans="1:17">
      <c r="B134">
        <v>2016</v>
      </c>
      <c r="C134" s="5">
        <v>1937</v>
      </c>
      <c r="D134" s="3">
        <v>159732</v>
      </c>
      <c r="E134" s="3">
        <v>116862454</v>
      </c>
      <c r="F134" s="5">
        <v>2208</v>
      </c>
      <c r="G134" s="3">
        <v>756872</v>
      </c>
      <c r="H134" s="3">
        <v>151935873</v>
      </c>
      <c r="I134" s="5">
        <v>2483</v>
      </c>
      <c r="J134" s="3">
        <v>462468</v>
      </c>
      <c r="K134" s="3">
        <v>158270034</v>
      </c>
      <c r="L134" s="5">
        <v>393</v>
      </c>
      <c r="M134" s="3">
        <v>163783</v>
      </c>
      <c r="N134" s="3">
        <v>45785286</v>
      </c>
      <c r="O134" s="5">
        <v>7021</v>
      </c>
      <c r="P134" s="3">
        <v>1542855</v>
      </c>
      <c r="Q134" s="3">
        <v>472853647</v>
      </c>
    </row>
    <row r="135" spans="1:17">
      <c r="B135">
        <v>2017</v>
      </c>
      <c r="C135" s="5">
        <v>674</v>
      </c>
      <c r="D135" s="3">
        <v>71341</v>
      </c>
      <c r="E135" s="3">
        <v>33367044</v>
      </c>
      <c r="F135" s="5">
        <v>573</v>
      </c>
      <c r="G135" s="3">
        <v>628770</v>
      </c>
      <c r="H135" s="3">
        <v>68024046</v>
      </c>
      <c r="I135" s="5">
        <v>578</v>
      </c>
      <c r="J135" s="3">
        <v>296983</v>
      </c>
      <c r="K135" s="3">
        <v>62860390</v>
      </c>
      <c r="L135" s="5">
        <v>899</v>
      </c>
      <c r="M135" s="3">
        <v>582939</v>
      </c>
      <c r="N135" s="3">
        <v>99318251</v>
      </c>
      <c r="O135" s="5">
        <v>2724</v>
      </c>
      <c r="P135" s="3">
        <v>1580033</v>
      </c>
      <c r="Q135" s="3">
        <v>263569731</v>
      </c>
    </row>
    <row r="136" spans="1:17">
      <c r="B136">
        <v>2018</v>
      </c>
      <c r="C136" s="5">
        <v>1290</v>
      </c>
      <c r="D136" s="3">
        <v>590491</v>
      </c>
      <c r="E136" s="3">
        <v>105391272</v>
      </c>
      <c r="F136" s="5">
        <v>1546</v>
      </c>
      <c r="G136" s="3">
        <v>922407</v>
      </c>
      <c r="H136" s="3">
        <v>95238372</v>
      </c>
      <c r="I136" s="5">
        <v>1880</v>
      </c>
      <c r="J136" s="3">
        <v>1052025</v>
      </c>
      <c r="K136" s="3">
        <v>124959059</v>
      </c>
      <c r="L136" s="5">
        <v>1013</v>
      </c>
      <c r="M136" s="3">
        <v>784897</v>
      </c>
      <c r="N136" s="3">
        <v>81155338</v>
      </c>
      <c r="O136" s="5">
        <v>5729</v>
      </c>
      <c r="P136" s="3">
        <v>3349820</v>
      </c>
      <c r="Q136" s="3">
        <v>406744041</v>
      </c>
    </row>
    <row r="137" spans="1:17">
      <c r="B137">
        <v>2019</v>
      </c>
      <c r="C137" s="5">
        <v>2434</v>
      </c>
      <c r="D137" s="3">
        <v>947174</v>
      </c>
      <c r="E137" s="3">
        <v>135993981</v>
      </c>
      <c r="F137" s="5">
        <v>730</v>
      </c>
      <c r="G137" s="3">
        <v>354169</v>
      </c>
      <c r="H137" s="3">
        <v>83538280</v>
      </c>
      <c r="I137" s="5">
        <v>1116</v>
      </c>
      <c r="J137" s="3">
        <v>839969</v>
      </c>
      <c r="K137" s="3">
        <v>62950336</v>
      </c>
      <c r="L137" s="5">
        <v>1629</v>
      </c>
      <c r="M137" s="3">
        <v>1233184</v>
      </c>
      <c r="N137" s="3">
        <v>114868594</v>
      </c>
      <c r="O137" s="5">
        <v>5909</v>
      </c>
      <c r="P137" s="3">
        <v>3374496</v>
      </c>
      <c r="Q137" s="3">
        <v>397351191</v>
      </c>
    </row>
    <row r="138" spans="1:17">
      <c r="B138">
        <v>2020</v>
      </c>
      <c r="C138" s="5">
        <v>2173</v>
      </c>
      <c r="D138" s="3">
        <v>700251</v>
      </c>
      <c r="E138" s="3">
        <v>192397139</v>
      </c>
      <c r="F138" s="5">
        <v>2607</v>
      </c>
      <c r="G138" s="3">
        <v>626313</v>
      </c>
      <c r="H138" s="3">
        <v>124358136</v>
      </c>
      <c r="I138" s="5">
        <v>654</v>
      </c>
      <c r="J138" s="3">
        <v>58177</v>
      </c>
      <c r="K138" s="3">
        <v>77054934</v>
      </c>
      <c r="L138" s="5">
        <v>1446</v>
      </c>
      <c r="M138" s="3">
        <v>731329</v>
      </c>
      <c r="N138" s="3">
        <v>113960648</v>
      </c>
      <c r="O138" s="5">
        <v>6880</v>
      </c>
      <c r="P138" s="3">
        <v>2116070</v>
      </c>
      <c r="Q138" s="3">
        <v>507770857</v>
      </c>
    </row>
    <row r="139" spans="1:17">
      <c r="B139">
        <v>2021</v>
      </c>
      <c r="C139" s="5">
        <v>1127</v>
      </c>
      <c r="D139" s="3">
        <v>264615</v>
      </c>
      <c r="E139" s="3">
        <v>82739279</v>
      </c>
      <c r="F139" s="5">
        <v>4471</v>
      </c>
      <c r="G139" s="3">
        <v>1370236</v>
      </c>
      <c r="H139" s="3">
        <v>354736706</v>
      </c>
      <c r="I139" s="5">
        <v>1225</v>
      </c>
      <c r="J139" s="3">
        <v>465915</v>
      </c>
      <c r="K139" s="3">
        <v>125517970</v>
      </c>
      <c r="L139" s="5">
        <v>1161</v>
      </c>
      <c r="M139" s="3">
        <v>771077</v>
      </c>
      <c r="N139" s="3">
        <v>102576748</v>
      </c>
      <c r="O139" s="5">
        <v>7984</v>
      </c>
      <c r="P139" s="3">
        <v>2871843</v>
      </c>
      <c r="Q139" s="3">
        <v>665570703</v>
      </c>
    </row>
    <row r="140" spans="1:17">
      <c r="B140">
        <v>2022</v>
      </c>
      <c r="C140" s="5">
        <v>2940</v>
      </c>
      <c r="D140" s="3">
        <v>697068</v>
      </c>
      <c r="E140" s="3">
        <v>222547304</v>
      </c>
      <c r="F140" s="5">
        <v>2158</v>
      </c>
      <c r="G140" s="3">
        <v>768822</v>
      </c>
      <c r="H140" s="3">
        <v>157643534</v>
      </c>
      <c r="I140" s="5">
        <v>2545</v>
      </c>
      <c r="J140" s="3">
        <v>941141</v>
      </c>
      <c r="K140" s="3">
        <v>161018093</v>
      </c>
      <c r="L140" s="5">
        <v>1233</v>
      </c>
      <c r="M140" s="3">
        <v>546471</v>
      </c>
      <c r="N140" s="3">
        <v>84146889</v>
      </c>
      <c r="O140" s="5">
        <v>8876</v>
      </c>
      <c r="P140" s="3">
        <v>2953502</v>
      </c>
      <c r="Q140" s="3">
        <v>625355820</v>
      </c>
    </row>
    <row r="141" spans="1:17">
      <c r="B141">
        <v>2023</v>
      </c>
      <c r="C141" s="5">
        <v>319</v>
      </c>
      <c r="D141" s="3">
        <v>400514</v>
      </c>
      <c r="E141" s="3">
        <v>20809008</v>
      </c>
      <c r="F141" s="5">
        <v>1093</v>
      </c>
      <c r="G141" s="3">
        <v>320841</v>
      </c>
      <c r="H141" s="3">
        <v>68393420</v>
      </c>
      <c r="I141" s="5">
        <v>929</v>
      </c>
      <c r="J141" s="3">
        <v>485350</v>
      </c>
      <c r="K141" s="3">
        <v>69949710</v>
      </c>
      <c r="L141" s="5">
        <v>706</v>
      </c>
      <c r="M141" s="3">
        <v>662139</v>
      </c>
      <c r="N141" s="3">
        <v>36938445</v>
      </c>
      <c r="O141" s="5">
        <v>3047</v>
      </c>
      <c r="P141" s="3">
        <v>1868844</v>
      </c>
      <c r="Q141" s="3">
        <v>196090583</v>
      </c>
    </row>
    <row r="142" spans="1:17">
      <c r="B142">
        <v>2024</v>
      </c>
      <c r="C142" s="5">
        <v>474</v>
      </c>
      <c r="D142" s="3">
        <v>262369</v>
      </c>
      <c r="E142" s="3">
        <v>17308110</v>
      </c>
      <c r="F142" s="5">
        <v>1523</v>
      </c>
      <c r="G142" s="3">
        <v>512219</v>
      </c>
      <c r="H142" s="3">
        <v>96526988</v>
      </c>
      <c r="I142" s="5">
        <v>2338</v>
      </c>
      <c r="J142" s="3">
        <v>1222100</v>
      </c>
      <c r="K142" s="3">
        <v>150415810</v>
      </c>
      <c r="L142" s="5">
        <v>1615</v>
      </c>
      <c r="M142" s="3">
        <v>361819</v>
      </c>
      <c r="N142" s="3">
        <v>82593130</v>
      </c>
      <c r="O142" s="5">
        <v>5950</v>
      </c>
      <c r="P142" s="3">
        <v>2358507</v>
      </c>
      <c r="Q142" s="3">
        <v>346844038</v>
      </c>
    </row>
    <row r="143" spans="1:17">
      <c r="A143" t="s">
        <v>75</v>
      </c>
      <c r="C143" s="5">
        <v>15288</v>
      </c>
      <c r="D143" s="3">
        <v>4392590</v>
      </c>
      <c r="E143" s="3">
        <v>1072479853</v>
      </c>
      <c r="F143" s="5">
        <v>16909</v>
      </c>
      <c r="G143" s="3">
        <v>6260649</v>
      </c>
      <c r="H143" s="3">
        <v>1200395355</v>
      </c>
      <c r="I143" s="5">
        <v>15644</v>
      </c>
      <c r="J143" s="3">
        <v>6883198</v>
      </c>
      <c r="K143" s="3">
        <v>1144181355</v>
      </c>
      <c r="L143" s="5">
        <v>11303</v>
      </c>
      <c r="M143" s="3">
        <v>6449685</v>
      </c>
      <c r="N143" s="3">
        <v>858968593</v>
      </c>
      <c r="O143" s="5">
        <v>59144</v>
      </c>
      <c r="P143" s="3">
        <v>23986122</v>
      </c>
      <c r="Q143" s="3">
        <v>4276025156</v>
      </c>
    </row>
    <row r="144" spans="1:17">
      <c r="A144" t="s">
        <v>41</v>
      </c>
      <c r="B144">
        <v>2015</v>
      </c>
      <c r="C144" s="5">
        <v>2304</v>
      </c>
      <c r="D144" s="3">
        <v>2068989</v>
      </c>
      <c r="E144" s="3">
        <v>151240233</v>
      </c>
      <c r="F144" s="5">
        <v>785</v>
      </c>
      <c r="G144" s="3">
        <v>760928</v>
      </c>
      <c r="H144" s="3">
        <v>50223265</v>
      </c>
      <c r="I144" s="5">
        <v>922</v>
      </c>
      <c r="J144" s="3">
        <v>305230</v>
      </c>
      <c r="K144" s="3">
        <v>55491492</v>
      </c>
      <c r="L144" s="5">
        <v>1615</v>
      </c>
      <c r="M144" s="3">
        <v>1067636</v>
      </c>
      <c r="N144" s="3">
        <v>177933656</v>
      </c>
      <c r="O144" s="5">
        <v>5626</v>
      </c>
      <c r="P144" s="3">
        <v>4202783</v>
      </c>
      <c r="Q144" s="3">
        <v>434888646</v>
      </c>
    </row>
    <row r="145" spans="1:17">
      <c r="B145">
        <v>2016</v>
      </c>
      <c r="C145" s="5">
        <v>100</v>
      </c>
      <c r="D145" s="3">
        <v>375724</v>
      </c>
      <c r="E145" s="3">
        <v>6008100</v>
      </c>
      <c r="F145" s="5">
        <v>1303</v>
      </c>
      <c r="G145" s="3">
        <v>334404</v>
      </c>
      <c r="H145" s="3">
        <v>117339771</v>
      </c>
      <c r="I145" s="5">
        <v>4054</v>
      </c>
      <c r="J145" s="3">
        <v>1432283</v>
      </c>
      <c r="K145" s="3">
        <v>350564815</v>
      </c>
      <c r="L145" s="5">
        <v>2402</v>
      </c>
      <c r="M145" s="3">
        <v>1140256</v>
      </c>
      <c r="N145" s="3">
        <v>179111956</v>
      </c>
      <c r="O145" s="5">
        <v>7859</v>
      </c>
      <c r="P145" s="3">
        <v>3282667</v>
      </c>
      <c r="Q145" s="3">
        <v>653024642</v>
      </c>
    </row>
    <row r="146" spans="1:17">
      <c r="B146">
        <v>2017</v>
      </c>
      <c r="C146" s="5">
        <v>2604</v>
      </c>
      <c r="D146" s="3">
        <v>1080145</v>
      </c>
      <c r="E146" s="3">
        <v>143845504</v>
      </c>
      <c r="F146" s="5">
        <v>956</v>
      </c>
      <c r="G146" s="3">
        <v>602553</v>
      </c>
      <c r="H146" s="3">
        <v>77999900</v>
      </c>
      <c r="I146" s="5">
        <v>1247</v>
      </c>
      <c r="J146" s="3">
        <v>529459</v>
      </c>
      <c r="K146" s="3">
        <v>109679212</v>
      </c>
      <c r="L146" s="5">
        <v>782</v>
      </c>
      <c r="M146" s="3">
        <v>75938</v>
      </c>
      <c r="N146" s="3">
        <v>92067206</v>
      </c>
      <c r="O146" s="5">
        <v>5589</v>
      </c>
      <c r="P146" s="3">
        <v>2288095</v>
      </c>
      <c r="Q146" s="3">
        <v>423591822</v>
      </c>
    </row>
    <row r="147" spans="1:17">
      <c r="B147">
        <v>2018</v>
      </c>
      <c r="C147" s="5">
        <v>807</v>
      </c>
      <c r="D147" s="3">
        <v>443922</v>
      </c>
      <c r="E147" s="3">
        <v>63944259</v>
      </c>
      <c r="F147" s="5"/>
      <c r="G147" s="3"/>
      <c r="H147" s="3"/>
      <c r="I147" s="5">
        <v>453</v>
      </c>
      <c r="J147" s="3">
        <v>697295</v>
      </c>
      <c r="K147" s="3">
        <v>29596515</v>
      </c>
      <c r="L147" s="5">
        <v>1059</v>
      </c>
      <c r="M147" s="3">
        <v>647383</v>
      </c>
      <c r="N147" s="3">
        <v>79854114</v>
      </c>
      <c r="O147" s="5">
        <v>2319</v>
      </c>
      <c r="P147" s="3">
        <v>1788600</v>
      </c>
      <c r="Q147" s="3">
        <v>173394888</v>
      </c>
    </row>
    <row r="148" spans="1:17">
      <c r="B148">
        <v>2019</v>
      </c>
      <c r="C148" s="5">
        <v>639</v>
      </c>
      <c r="D148" s="3">
        <v>590607</v>
      </c>
      <c r="E148" s="3">
        <v>58239291</v>
      </c>
      <c r="F148" s="5">
        <v>3566</v>
      </c>
      <c r="G148" s="3">
        <v>1091051</v>
      </c>
      <c r="H148" s="3">
        <v>238033192</v>
      </c>
      <c r="I148" s="5">
        <v>3186</v>
      </c>
      <c r="J148" s="3">
        <v>1316097</v>
      </c>
      <c r="K148" s="3">
        <v>226710084</v>
      </c>
      <c r="L148" s="5">
        <v>2635</v>
      </c>
      <c r="M148" s="3">
        <v>1226184</v>
      </c>
      <c r="N148" s="3">
        <v>151052419</v>
      </c>
      <c r="O148" s="5">
        <v>10026</v>
      </c>
      <c r="P148" s="3">
        <v>4223939</v>
      </c>
      <c r="Q148" s="3">
        <v>674034986</v>
      </c>
    </row>
    <row r="149" spans="1:17">
      <c r="B149">
        <v>2020</v>
      </c>
      <c r="C149" s="5">
        <v>3750</v>
      </c>
      <c r="D149" s="3">
        <v>1629563</v>
      </c>
      <c r="E149" s="3">
        <v>260148822</v>
      </c>
      <c r="F149" s="5">
        <v>1894</v>
      </c>
      <c r="G149" s="3">
        <v>664244</v>
      </c>
      <c r="H149" s="3">
        <v>172167828</v>
      </c>
      <c r="I149" s="5">
        <v>386</v>
      </c>
      <c r="J149" s="3">
        <v>212696</v>
      </c>
      <c r="K149" s="3">
        <v>16731556</v>
      </c>
      <c r="L149" s="5">
        <v>2260</v>
      </c>
      <c r="M149" s="3">
        <v>744185</v>
      </c>
      <c r="N149" s="3">
        <v>161212798</v>
      </c>
      <c r="O149" s="5">
        <v>8290</v>
      </c>
      <c r="P149" s="3">
        <v>3250688</v>
      </c>
      <c r="Q149" s="3">
        <v>610261004</v>
      </c>
    </row>
    <row r="150" spans="1:17">
      <c r="B150">
        <v>2021</v>
      </c>
      <c r="C150" s="5">
        <v>4609</v>
      </c>
      <c r="D150" s="3">
        <v>1700094</v>
      </c>
      <c r="E150" s="3">
        <v>316369999</v>
      </c>
      <c r="F150" s="5">
        <v>749</v>
      </c>
      <c r="G150" s="3">
        <v>78885</v>
      </c>
      <c r="H150" s="3">
        <v>79743034</v>
      </c>
      <c r="I150" s="5">
        <v>1257</v>
      </c>
      <c r="J150" s="3">
        <v>442376</v>
      </c>
      <c r="K150" s="3">
        <v>122712270</v>
      </c>
      <c r="L150" s="5">
        <v>201</v>
      </c>
      <c r="M150" s="3">
        <v>255753</v>
      </c>
      <c r="N150" s="3">
        <v>12266226</v>
      </c>
      <c r="O150" s="5">
        <v>6816</v>
      </c>
      <c r="P150" s="3">
        <v>2477108</v>
      </c>
      <c r="Q150" s="3">
        <v>531091529</v>
      </c>
    </row>
    <row r="151" spans="1:17">
      <c r="B151">
        <v>2022</v>
      </c>
      <c r="C151" s="5">
        <v>951</v>
      </c>
      <c r="D151" s="3">
        <v>692034</v>
      </c>
      <c r="E151" s="3">
        <v>83428363</v>
      </c>
      <c r="F151" s="5">
        <v>909</v>
      </c>
      <c r="G151" s="3">
        <v>831153</v>
      </c>
      <c r="H151" s="3">
        <v>51295227</v>
      </c>
      <c r="I151" s="5">
        <v>2120</v>
      </c>
      <c r="J151" s="3">
        <v>845136</v>
      </c>
      <c r="K151" s="3">
        <v>141695550</v>
      </c>
      <c r="L151" s="5"/>
      <c r="M151" s="3"/>
      <c r="N151" s="3"/>
      <c r="O151" s="5">
        <v>3980</v>
      </c>
      <c r="P151" s="3">
        <v>2368323</v>
      </c>
      <c r="Q151" s="3">
        <v>276419140</v>
      </c>
    </row>
    <row r="152" spans="1:17">
      <c r="B152">
        <v>2023</v>
      </c>
      <c r="C152" s="5"/>
      <c r="D152" s="3"/>
      <c r="E152" s="3"/>
      <c r="F152" s="5">
        <v>2133</v>
      </c>
      <c r="G152" s="3">
        <v>799026</v>
      </c>
      <c r="H152" s="3">
        <v>134802618</v>
      </c>
      <c r="I152" s="5">
        <v>1073</v>
      </c>
      <c r="J152" s="3">
        <v>762392</v>
      </c>
      <c r="K152" s="3">
        <v>89689745</v>
      </c>
      <c r="L152" s="5">
        <v>2181</v>
      </c>
      <c r="M152" s="3">
        <v>1159365</v>
      </c>
      <c r="N152" s="3">
        <v>207226204</v>
      </c>
      <c r="O152" s="5">
        <v>5387</v>
      </c>
      <c r="P152" s="3">
        <v>2720783</v>
      </c>
      <c r="Q152" s="3">
        <v>431718567</v>
      </c>
    </row>
    <row r="153" spans="1:17">
      <c r="B153">
        <v>2024</v>
      </c>
      <c r="C153" s="5">
        <v>736</v>
      </c>
      <c r="D153" s="3">
        <v>277966</v>
      </c>
      <c r="E153" s="3">
        <v>62299456</v>
      </c>
      <c r="F153" s="5">
        <v>3801</v>
      </c>
      <c r="G153" s="3">
        <v>1382861</v>
      </c>
      <c r="H153" s="3">
        <v>235530179</v>
      </c>
      <c r="I153" s="5">
        <v>2821</v>
      </c>
      <c r="J153" s="3">
        <v>1089003</v>
      </c>
      <c r="K153" s="3">
        <v>198566465</v>
      </c>
      <c r="L153" s="5">
        <v>1821</v>
      </c>
      <c r="M153" s="3">
        <v>1055671</v>
      </c>
      <c r="N153" s="3">
        <v>165522251</v>
      </c>
      <c r="O153" s="5">
        <v>9179</v>
      </c>
      <c r="P153" s="3">
        <v>3805501</v>
      </c>
      <c r="Q153" s="3">
        <v>661918351</v>
      </c>
    </row>
    <row r="154" spans="1:17">
      <c r="A154" t="s">
        <v>76</v>
      </c>
      <c r="C154" s="5">
        <v>16500</v>
      </c>
      <c r="D154" s="3">
        <v>8859044</v>
      </c>
      <c r="E154" s="3">
        <v>1145524027</v>
      </c>
      <c r="F154" s="5">
        <v>16096</v>
      </c>
      <c r="G154" s="3">
        <v>6545105</v>
      </c>
      <c r="H154" s="3">
        <v>1157135014</v>
      </c>
      <c r="I154" s="5">
        <v>17519</v>
      </c>
      <c r="J154" s="3">
        <v>7631967</v>
      </c>
      <c r="K154" s="3">
        <v>1341437704</v>
      </c>
      <c r="L154" s="5">
        <v>14956</v>
      </c>
      <c r="M154" s="3">
        <v>7372371</v>
      </c>
      <c r="N154" s="3">
        <v>1226246830</v>
      </c>
      <c r="O154" s="5">
        <v>65071</v>
      </c>
      <c r="P154" s="3">
        <v>30408487</v>
      </c>
      <c r="Q154" s="3">
        <v>4870343575</v>
      </c>
    </row>
    <row r="155" spans="1:17">
      <c r="A155" t="s">
        <v>22</v>
      </c>
      <c r="B155">
        <v>2015</v>
      </c>
      <c r="C155" s="5">
        <v>1896</v>
      </c>
      <c r="D155" s="3">
        <v>719538</v>
      </c>
      <c r="E155" s="3">
        <v>204755136</v>
      </c>
      <c r="F155" s="5">
        <v>1802</v>
      </c>
      <c r="G155" s="3">
        <v>616730</v>
      </c>
      <c r="H155" s="3">
        <v>162730013</v>
      </c>
      <c r="I155" s="5">
        <v>2472</v>
      </c>
      <c r="J155" s="3">
        <v>1206776</v>
      </c>
      <c r="K155" s="3">
        <v>246406476</v>
      </c>
      <c r="L155" s="5">
        <v>1343</v>
      </c>
      <c r="M155" s="3">
        <v>399629</v>
      </c>
      <c r="N155" s="3">
        <v>155811125</v>
      </c>
      <c r="O155" s="5">
        <v>7513</v>
      </c>
      <c r="P155" s="3">
        <v>2942673</v>
      </c>
      <c r="Q155" s="3">
        <v>769702750</v>
      </c>
    </row>
    <row r="156" spans="1:17">
      <c r="B156">
        <v>2016</v>
      </c>
      <c r="C156" s="5">
        <v>2801</v>
      </c>
      <c r="D156" s="3">
        <v>947822</v>
      </c>
      <c r="E156" s="3">
        <v>194311918</v>
      </c>
      <c r="F156" s="5">
        <v>666</v>
      </c>
      <c r="G156" s="3">
        <v>104362</v>
      </c>
      <c r="H156" s="3">
        <v>28540098</v>
      </c>
      <c r="I156" s="5">
        <v>1603</v>
      </c>
      <c r="J156" s="3">
        <v>815217</v>
      </c>
      <c r="K156" s="3">
        <v>104524950</v>
      </c>
      <c r="L156" s="5">
        <v>1730</v>
      </c>
      <c r="M156" s="3">
        <v>750214</v>
      </c>
      <c r="N156" s="3">
        <v>110828751</v>
      </c>
      <c r="O156" s="5">
        <v>6800</v>
      </c>
      <c r="P156" s="3">
        <v>2617615</v>
      </c>
      <c r="Q156" s="3">
        <v>438205717</v>
      </c>
    </row>
    <row r="157" spans="1:17">
      <c r="B157">
        <v>2017</v>
      </c>
      <c r="C157" s="5">
        <v>1559</v>
      </c>
      <c r="D157" s="3">
        <v>741178</v>
      </c>
      <c r="E157" s="3">
        <v>169234844</v>
      </c>
      <c r="F157" s="5">
        <v>1656</v>
      </c>
      <c r="G157" s="3">
        <v>819238</v>
      </c>
      <c r="H157" s="3">
        <v>129399230</v>
      </c>
      <c r="I157" s="5">
        <v>4302</v>
      </c>
      <c r="J157" s="3">
        <v>2035964</v>
      </c>
      <c r="K157" s="3">
        <v>394834141</v>
      </c>
      <c r="L157" s="5">
        <v>804</v>
      </c>
      <c r="M157" s="3">
        <v>285652</v>
      </c>
      <c r="N157" s="3">
        <v>77097168</v>
      </c>
      <c r="O157" s="5">
        <v>8321</v>
      </c>
      <c r="P157" s="3">
        <v>3882032</v>
      </c>
      <c r="Q157" s="3">
        <v>770565383</v>
      </c>
    </row>
    <row r="158" spans="1:17">
      <c r="B158">
        <v>2018</v>
      </c>
      <c r="C158" s="5">
        <v>457</v>
      </c>
      <c r="D158" s="3">
        <v>223501</v>
      </c>
      <c r="E158" s="3">
        <v>17802892</v>
      </c>
      <c r="F158" s="5">
        <v>3094</v>
      </c>
      <c r="G158" s="3">
        <v>1906776</v>
      </c>
      <c r="H158" s="3">
        <v>174039779</v>
      </c>
      <c r="I158" s="5">
        <v>4062</v>
      </c>
      <c r="J158" s="3">
        <v>1611511</v>
      </c>
      <c r="K158" s="3">
        <v>187731068</v>
      </c>
      <c r="L158" s="5">
        <v>3431</v>
      </c>
      <c r="M158" s="3">
        <v>1308615</v>
      </c>
      <c r="N158" s="3">
        <v>270626071</v>
      </c>
      <c r="O158" s="5">
        <v>11044</v>
      </c>
      <c r="P158" s="3">
        <v>5050403</v>
      </c>
      <c r="Q158" s="3">
        <v>650199810</v>
      </c>
    </row>
    <row r="159" spans="1:17">
      <c r="B159">
        <v>2019</v>
      </c>
      <c r="C159" s="5">
        <v>1489</v>
      </c>
      <c r="D159" s="3">
        <v>304044</v>
      </c>
      <c r="E159" s="3">
        <v>96124066</v>
      </c>
      <c r="F159" s="5">
        <v>797</v>
      </c>
      <c r="G159" s="3">
        <v>446659</v>
      </c>
      <c r="H159" s="3">
        <v>61801771</v>
      </c>
      <c r="I159" s="5">
        <v>1404</v>
      </c>
      <c r="J159" s="3">
        <v>549151</v>
      </c>
      <c r="K159" s="3">
        <v>105053009</v>
      </c>
      <c r="L159" s="5">
        <v>2713</v>
      </c>
      <c r="M159" s="3">
        <v>972930</v>
      </c>
      <c r="N159" s="3">
        <v>241353810</v>
      </c>
      <c r="O159" s="5">
        <v>6403</v>
      </c>
      <c r="P159" s="3">
        <v>2272784</v>
      </c>
      <c r="Q159" s="3">
        <v>504332656</v>
      </c>
    </row>
    <row r="160" spans="1:17">
      <c r="B160">
        <v>2020</v>
      </c>
      <c r="C160" s="5">
        <v>1374</v>
      </c>
      <c r="D160" s="3">
        <v>786283</v>
      </c>
      <c r="E160" s="3">
        <v>109290078</v>
      </c>
      <c r="F160" s="5">
        <v>1973</v>
      </c>
      <c r="G160" s="3">
        <v>907683</v>
      </c>
      <c r="H160" s="3">
        <v>187950026</v>
      </c>
      <c r="I160" s="5">
        <v>2260</v>
      </c>
      <c r="J160" s="3">
        <v>852168</v>
      </c>
      <c r="K160" s="3">
        <v>184974870</v>
      </c>
      <c r="L160" s="5">
        <v>1656</v>
      </c>
      <c r="M160" s="3">
        <v>863493</v>
      </c>
      <c r="N160" s="3">
        <v>109656548</v>
      </c>
      <c r="O160" s="5">
        <v>7263</v>
      </c>
      <c r="P160" s="3">
        <v>3409627</v>
      </c>
      <c r="Q160" s="3">
        <v>591871522</v>
      </c>
    </row>
    <row r="161" spans="1:17">
      <c r="B161">
        <v>2021</v>
      </c>
      <c r="C161" s="5"/>
      <c r="D161" s="3"/>
      <c r="E161" s="3"/>
      <c r="F161" s="5"/>
      <c r="G161" s="3"/>
      <c r="H161" s="3"/>
      <c r="I161" s="5"/>
      <c r="J161" s="3"/>
      <c r="K161" s="3"/>
      <c r="L161" s="5">
        <v>2925</v>
      </c>
      <c r="M161" s="3">
        <v>1508866</v>
      </c>
      <c r="N161" s="3">
        <v>208055411</v>
      </c>
      <c r="O161" s="5">
        <v>2925</v>
      </c>
      <c r="P161" s="3">
        <v>1508866</v>
      </c>
      <c r="Q161" s="3">
        <v>208055411</v>
      </c>
    </row>
    <row r="162" spans="1:17">
      <c r="B162">
        <v>2022</v>
      </c>
      <c r="C162" s="5">
        <v>1759</v>
      </c>
      <c r="D162" s="3">
        <v>676707</v>
      </c>
      <c r="E162" s="3">
        <v>126846954</v>
      </c>
      <c r="F162" s="5">
        <v>2432</v>
      </c>
      <c r="G162" s="3">
        <v>572794</v>
      </c>
      <c r="H162" s="3">
        <v>176678169</v>
      </c>
      <c r="I162" s="5">
        <v>2205</v>
      </c>
      <c r="J162" s="3">
        <v>1466741</v>
      </c>
      <c r="K162" s="3">
        <v>175737514</v>
      </c>
      <c r="L162" s="5">
        <v>796</v>
      </c>
      <c r="M162" s="3">
        <v>367231</v>
      </c>
      <c r="N162" s="3">
        <v>84641864</v>
      </c>
      <c r="O162" s="5">
        <v>7192</v>
      </c>
      <c r="P162" s="3">
        <v>3083473</v>
      </c>
      <c r="Q162" s="3">
        <v>563904501</v>
      </c>
    </row>
    <row r="163" spans="1:17">
      <c r="B163">
        <v>2023</v>
      </c>
      <c r="C163" s="5">
        <v>2941</v>
      </c>
      <c r="D163" s="3">
        <v>1119661</v>
      </c>
      <c r="E163" s="3">
        <v>246254685</v>
      </c>
      <c r="F163" s="5">
        <v>1196</v>
      </c>
      <c r="G163" s="3">
        <v>689154</v>
      </c>
      <c r="H163" s="3">
        <v>68461569</v>
      </c>
      <c r="I163" s="5">
        <v>1399</v>
      </c>
      <c r="J163" s="3">
        <v>739877</v>
      </c>
      <c r="K163" s="3">
        <v>93430734</v>
      </c>
      <c r="L163" s="5">
        <v>921</v>
      </c>
      <c r="M163" s="3">
        <v>828393</v>
      </c>
      <c r="N163" s="3">
        <v>46912128</v>
      </c>
      <c r="O163" s="5">
        <v>6457</v>
      </c>
      <c r="P163" s="3">
        <v>3377085</v>
      </c>
      <c r="Q163" s="3">
        <v>455059116</v>
      </c>
    </row>
    <row r="164" spans="1:17">
      <c r="B164">
        <v>2024</v>
      </c>
      <c r="C164" s="5">
        <v>798</v>
      </c>
      <c r="D164" s="3">
        <v>168910</v>
      </c>
      <c r="E164" s="3">
        <v>71796060</v>
      </c>
      <c r="F164" s="5">
        <v>1471</v>
      </c>
      <c r="G164" s="3">
        <v>790912</v>
      </c>
      <c r="H164" s="3">
        <v>113984433</v>
      </c>
      <c r="I164" s="5">
        <v>475</v>
      </c>
      <c r="J164" s="3">
        <v>206688</v>
      </c>
      <c r="K164" s="3">
        <v>20401725</v>
      </c>
      <c r="L164" s="5">
        <v>2866</v>
      </c>
      <c r="M164" s="3">
        <v>1091926</v>
      </c>
      <c r="N164" s="3">
        <v>184796223</v>
      </c>
      <c r="O164" s="5">
        <v>5610</v>
      </c>
      <c r="P164" s="3">
        <v>2258436</v>
      </c>
      <c r="Q164" s="3">
        <v>390978441</v>
      </c>
    </row>
    <row r="165" spans="1:17">
      <c r="A165" t="s">
        <v>77</v>
      </c>
      <c r="C165" s="5">
        <v>15074</v>
      </c>
      <c r="D165" s="3">
        <v>5687644</v>
      </c>
      <c r="E165" s="3">
        <v>1236416633</v>
      </c>
      <c r="F165" s="5">
        <v>15087</v>
      </c>
      <c r="G165" s="3">
        <v>6854308</v>
      </c>
      <c r="H165" s="3">
        <v>1103585088</v>
      </c>
      <c r="I165" s="5">
        <v>20182</v>
      </c>
      <c r="J165" s="3">
        <v>9484093</v>
      </c>
      <c r="K165" s="3">
        <v>1513094487</v>
      </c>
      <c r="L165" s="5">
        <v>19185</v>
      </c>
      <c r="M165" s="3">
        <v>8376949</v>
      </c>
      <c r="N165" s="3">
        <v>1489779099</v>
      </c>
      <c r="O165" s="5">
        <v>69528</v>
      </c>
      <c r="P165" s="3">
        <v>30402994</v>
      </c>
      <c r="Q165" s="3">
        <v>5342875307</v>
      </c>
    </row>
    <row r="166" spans="1:17">
      <c r="A166" t="s">
        <v>30</v>
      </c>
      <c r="B166">
        <v>2015</v>
      </c>
      <c r="C166" s="5">
        <v>1960</v>
      </c>
      <c r="D166" s="3">
        <v>680026</v>
      </c>
      <c r="E166" s="3">
        <v>136500528</v>
      </c>
      <c r="F166" s="5">
        <v>994</v>
      </c>
      <c r="G166" s="3">
        <v>160084</v>
      </c>
      <c r="H166" s="3">
        <v>68744046</v>
      </c>
      <c r="I166" s="5">
        <v>1718</v>
      </c>
      <c r="J166" s="3">
        <v>472440</v>
      </c>
      <c r="K166" s="3">
        <v>118856780</v>
      </c>
      <c r="L166" s="5">
        <v>527</v>
      </c>
      <c r="M166" s="3">
        <v>315976</v>
      </c>
      <c r="N166" s="3">
        <v>47819453</v>
      </c>
      <c r="O166" s="5">
        <v>5199</v>
      </c>
      <c r="P166" s="3">
        <v>1628526</v>
      </c>
      <c r="Q166" s="3">
        <v>371920807</v>
      </c>
    </row>
    <row r="167" spans="1:17">
      <c r="B167">
        <v>2016</v>
      </c>
      <c r="C167" s="5">
        <v>595</v>
      </c>
      <c r="D167" s="3">
        <v>142837</v>
      </c>
      <c r="E167" s="3">
        <v>21599095</v>
      </c>
      <c r="F167" s="5">
        <v>3347</v>
      </c>
      <c r="G167" s="3">
        <v>1015244</v>
      </c>
      <c r="H167" s="3">
        <v>269639347</v>
      </c>
      <c r="I167" s="5">
        <v>511</v>
      </c>
      <c r="J167" s="3">
        <v>161915</v>
      </c>
      <c r="K167" s="3">
        <v>23342991</v>
      </c>
      <c r="L167" s="5"/>
      <c r="M167" s="3"/>
      <c r="N167" s="3"/>
      <c r="O167" s="5">
        <v>4453</v>
      </c>
      <c r="P167" s="3">
        <v>1319996</v>
      </c>
      <c r="Q167" s="3">
        <v>314581433</v>
      </c>
    </row>
    <row r="168" spans="1:17">
      <c r="B168">
        <v>2017</v>
      </c>
      <c r="C168" s="5">
        <v>1972</v>
      </c>
      <c r="D168" s="3">
        <v>984951</v>
      </c>
      <c r="E168" s="3">
        <v>194336854</v>
      </c>
      <c r="F168" s="5"/>
      <c r="G168" s="3"/>
      <c r="H168" s="3"/>
      <c r="I168" s="5"/>
      <c r="J168" s="3"/>
      <c r="K168" s="3"/>
      <c r="L168" s="5">
        <v>2656</v>
      </c>
      <c r="M168" s="3">
        <v>1212018</v>
      </c>
      <c r="N168" s="3">
        <v>233408482</v>
      </c>
      <c r="O168" s="5">
        <v>4628</v>
      </c>
      <c r="P168" s="3">
        <v>2196969</v>
      </c>
      <c r="Q168" s="3">
        <v>427745336</v>
      </c>
    </row>
    <row r="169" spans="1:17">
      <c r="B169">
        <v>2018</v>
      </c>
      <c r="C169" s="5">
        <v>1743</v>
      </c>
      <c r="D169" s="3">
        <v>613053</v>
      </c>
      <c r="E169" s="3">
        <v>119679594</v>
      </c>
      <c r="F169" s="5">
        <v>3362</v>
      </c>
      <c r="G169" s="3">
        <v>1868994</v>
      </c>
      <c r="H169" s="3">
        <v>278548357</v>
      </c>
      <c r="I169" s="5">
        <v>296</v>
      </c>
      <c r="J169" s="3">
        <v>149477</v>
      </c>
      <c r="K169" s="3">
        <v>12724152</v>
      </c>
      <c r="L169" s="5">
        <v>561</v>
      </c>
      <c r="M169" s="3">
        <v>171648</v>
      </c>
      <c r="N169" s="3">
        <v>33863643</v>
      </c>
      <c r="O169" s="5">
        <v>5962</v>
      </c>
      <c r="P169" s="3">
        <v>2803172</v>
      </c>
      <c r="Q169" s="3">
        <v>444815746</v>
      </c>
    </row>
    <row r="170" spans="1:17">
      <c r="B170">
        <v>2019</v>
      </c>
      <c r="C170" s="5">
        <v>1805</v>
      </c>
      <c r="D170" s="3">
        <v>669214</v>
      </c>
      <c r="E170" s="3">
        <v>89270237</v>
      </c>
      <c r="F170" s="5">
        <v>2701</v>
      </c>
      <c r="G170" s="3">
        <v>1406527</v>
      </c>
      <c r="H170" s="3">
        <v>153660950</v>
      </c>
      <c r="I170" s="5">
        <v>791</v>
      </c>
      <c r="J170" s="3">
        <v>244360</v>
      </c>
      <c r="K170" s="3">
        <v>87064579</v>
      </c>
      <c r="L170" s="5">
        <v>5028</v>
      </c>
      <c r="M170" s="3">
        <v>1676828</v>
      </c>
      <c r="N170" s="3">
        <v>320254009</v>
      </c>
      <c r="O170" s="5">
        <v>10325</v>
      </c>
      <c r="P170" s="3">
        <v>3996929</v>
      </c>
      <c r="Q170" s="3">
        <v>650249775</v>
      </c>
    </row>
    <row r="171" spans="1:17">
      <c r="B171">
        <v>2020</v>
      </c>
      <c r="C171" s="5">
        <v>3003</v>
      </c>
      <c r="D171" s="3">
        <v>655463</v>
      </c>
      <c r="E171" s="3">
        <v>215168194</v>
      </c>
      <c r="F171" s="5">
        <v>842</v>
      </c>
      <c r="G171" s="3">
        <v>676273</v>
      </c>
      <c r="H171" s="3">
        <v>66640417</v>
      </c>
      <c r="I171" s="5">
        <v>511</v>
      </c>
      <c r="J171" s="3">
        <v>219801</v>
      </c>
      <c r="K171" s="3">
        <v>29226645</v>
      </c>
      <c r="L171" s="5">
        <v>2273</v>
      </c>
      <c r="M171" s="3">
        <v>625453</v>
      </c>
      <c r="N171" s="3">
        <v>203356978</v>
      </c>
      <c r="O171" s="5">
        <v>6629</v>
      </c>
      <c r="P171" s="3">
        <v>2176990</v>
      </c>
      <c r="Q171" s="3">
        <v>514392234</v>
      </c>
    </row>
    <row r="172" spans="1:17">
      <c r="B172">
        <v>2021</v>
      </c>
      <c r="C172" s="5">
        <v>1386</v>
      </c>
      <c r="D172" s="3">
        <v>1139831</v>
      </c>
      <c r="E172" s="3">
        <v>57975282</v>
      </c>
      <c r="F172" s="5">
        <v>1324</v>
      </c>
      <c r="G172" s="3">
        <v>1004099</v>
      </c>
      <c r="H172" s="3">
        <v>123227423</v>
      </c>
      <c r="I172" s="5">
        <v>2071</v>
      </c>
      <c r="J172" s="3">
        <v>512067</v>
      </c>
      <c r="K172" s="3">
        <v>207570676</v>
      </c>
      <c r="L172" s="5">
        <v>1210</v>
      </c>
      <c r="M172" s="3">
        <v>394236</v>
      </c>
      <c r="N172" s="3">
        <v>103331250</v>
      </c>
      <c r="O172" s="5">
        <v>5991</v>
      </c>
      <c r="P172" s="3">
        <v>3050233</v>
      </c>
      <c r="Q172" s="3">
        <v>492104631</v>
      </c>
    </row>
    <row r="173" spans="1:17">
      <c r="B173">
        <v>2022</v>
      </c>
      <c r="C173" s="5">
        <v>1304</v>
      </c>
      <c r="D173" s="3">
        <v>789199</v>
      </c>
      <c r="E173" s="3">
        <v>121228293</v>
      </c>
      <c r="F173" s="5">
        <v>247</v>
      </c>
      <c r="G173" s="3">
        <v>355126</v>
      </c>
      <c r="H173" s="3">
        <v>10916412</v>
      </c>
      <c r="I173" s="5">
        <v>1342</v>
      </c>
      <c r="J173" s="3">
        <v>761289</v>
      </c>
      <c r="K173" s="3">
        <v>73717460</v>
      </c>
      <c r="L173" s="5">
        <v>3170</v>
      </c>
      <c r="M173" s="3">
        <v>2164109</v>
      </c>
      <c r="N173" s="3">
        <v>261160661</v>
      </c>
      <c r="O173" s="5">
        <v>6063</v>
      </c>
      <c r="P173" s="3">
        <v>4069723</v>
      </c>
      <c r="Q173" s="3">
        <v>467022826</v>
      </c>
    </row>
    <row r="174" spans="1:17">
      <c r="B174">
        <v>2023</v>
      </c>
      <c r="C174" s="5">
        <v>2299</v>
      </c>
      <c r="D174" s="3">
        <v>1020404</v>
      </c>
      <c r="E174" s="3">
        <v>161577074</v>
      </c>
      <c r="F174" s="5">
        <v>2196</v>
      </c>
      <c r="G174" s="3">
        <v>1350944</v>
      </c>
      <c r="H174" s="3">
        <v>137204760</v>
      </c>
      <c r="I174" s="5">
        <v>2272</v>
      </c>
      <c r="J174" s="3">
        <v>502326</v>
      </c>
      <c r="K174" s="3">
        <v>135986863</v>
      </c>
      <c r="L174" s="5">
        <v>530</v>
      </c>
      <c r="M174" s="3">
        <v>115184</v>
      </c>
      <c r="N174" s="3">
        <v>57620010</v>
      </c>
      <c r="O174" s="5">
        <v>7297</v>
      </c>
      <c r="P174" s="3">
        <v>2988858</v>
      </c>
      <c r="Q174" s="3">
        <v>492388707</v>
      </c>
    </row>
    <row r="175" spans="1:17">
      <c r="B175">
        <v>2024</v>
      </c>
      <c r="C175" s="5">
        <v>687</v>
      </c>
      <c r="D175" s="3">
        <v>349155</v>
      </c>
      <c r="E175" s="3">
        <v>81453468</v>
      </c>
      <c r="F175" s="5">
        <v>3594</v>
      </c>
      <c r="G175" s="3">
        <v>769247</v>
      </c>
      <c r="H175" s="3">
        <v>258903454</v>
      </c>
      <c r="I175" s="5">
        <v>1590</v>
      </c>
      <c r="J175" s="3">
        <v>1165449</v>
      </c>
      <c r="K175" s="3">
        <v>136264403</v>
      </c>
      <c r="L175" s="5">
        <v>1556</v>
      </c>
      <c r="M175" s="3">
        <v>772078</v>
      </c>
      <c r="N175" s="3">
        <v>132310747</v>
      </c>
      <c r="O175" s="5">
        <v>7427</v>
      </c>
      <c r="P175" s="3">
        <v>3055929</v>
      </c>
      <c r="Q175" s="3">
        <v>608932072</v>
      </c>
    </row>
    <row r="176" spans="1:17">
      <c r="A176" t="s">
        <v>78</v>
      </c>
      <c r="C176" s="5">
        <v>16754</v>
      </c>
      <c r="D176" s="3">
        <v>7044133</v>
      </c>
      <c r="E176" s="3">
        <v>1198788619</v>
      </c>
      <c r="F176" s="5">
        <v>18607</v>
      </c>
      <c r="G176" s="3">
        <v>8606538</v>
      </c>
      <c r="H176" s="3">
        <v>1367485166</v>
      </c>
      <c r="I176" s="5">
        <v>11102</v>
      </c>
      <c r="J176" s="3">
        <v>4189124</v>
      </c>
      <c r="K176" s="3">
        <v>824754549</v>
      </c>
      <c r="L176" s="5">
        <v>17511</v>
      </c>
      <c r="M176" s="3">
        <v>7447530</v>
      </c>
      <c r="N176" s="3">
        <v>1393125233</v>
      </c>
      <c r="O176" s="5">
        <v>63974</v>
      </c>
      <c r="P176" s="3">
        <v>27287325</v>
      </c>
      <c r="Q176" s="3">
        <v>4784153567</v>
      </c>
    </row>
    <row r="177" spans="1:17">
      <c r="A177" t="s">
        <v>52</v>
      </c>
      <c r="B177">
        <v>2015</v>
      </c>
      <c r="C177" s="5">
        <v>861</v>
      </c>
      <c r="D177" s="3">
        <v>428824</v>
      </c>
      <c r="E177" s="3">
        <v>38432457</v>
      </c>
      <c r="F177" s="5"/>
      <c r="G177" s="3"/>
      <c r="H177" s="3"/>
      <c r="I177" s="5">
        <v>1196</v>
      </c>
      <c r="J177" s="3">
        <v>493942</v>
      </c>
      <c r="K177" s="3">
        <v>104120172</v>
      </c>
      <c r="L177" s="5">
        <v>941</v>
      </c>
      <c r="M177" s="3">
        <v>176218</v>
      </c>
      <c r="N177" s="3">
        <v>59878653</v>
      </c>
      <c r="O177" s="5">
        <v>2998</v>
      </c>
      <c r="P177" s="3">
        <v>1098984</v>
      </c>
      <c r="Q177" s="3">
        <v>202431282</v>
      </c>
    </row>
    <row r="178" spans="1:17">
      <c r="B178">
        <v>2016</v>
      </c>
      <c r="C178" s="5">
        <v>1186</v>
      </c>
      <c r="D178" s="3">
        <v>659568</v>
      </c>
      <c r="E178" s="3">
        <v>116843754</v>
      </c>
      <c r="F178" s="5"/>
      <c r="G178" s="3"/>
      <c r="H178" s="3"/>
      <c r="I178" s="5">
        <v>548</v>
      </c>
      <c r="J178" s="3">
        <v>218733</v>
      </c>
      <c r="K178" s="3">
        <v>38071752</v>
      </c>
      <c r="L178" s="5">
        <v>741</v>
      </c>
      <c r="M178" s="3">
        <v>278954</v>
      </c>
      <c r="N178" s="3">
        <v>64989987</v>
      </c>
      <c r="O178" s="5">
        <v>2475</v>
      </c>
      <c r="P178" s="3">
        <v>1157255</v>
      </c>
      <c r="Q178" s="3">
        <v>219905493</v>
      </c>
    </row>
    <row r="179" spans="1:17">
      <c r="B179">
        <v>2017</v>
      </c>
      <c r="C179" s="5">
        <v>4613</v>
      </c>
      <c r="D179" s="3">
        <v>1444244</v>
      </c>
      <c r="E179" s="3">
        <v>322693461</v>
      </c>
      <c r="F179" s="5">
        <v>1936</v>
      </c>
      <c r="G179" s="3">
        <v>842469</v>
      </c>
      <c r="H179" s="3">
        <v>117908482</v>
      </c>
      <c r="I179" s="5">
        <v>4511</v>
      </c>
      <c r="J179" s="3">
        <v>1013465</v>
      </c>
      <c r="K179" s="3">
        <v>369421392</v>
      </c>
      <c r="L179" s="5">
        <v>693</v>
      </c>
      <c r="M179" s="3">
        <v>83477</v>
      </c>
      <c r="N179" s="3">
        <v>78907059</v>
      </c>
      <c r="O179" s="5">
        <v>11753</v>
      </c>
      <c r="P179" s="3">
        <v>3383655</v>
      </c>
      <c r="Q179" s="3">
        <v>888930394</v>
      </c>
    </row>
    <row r="180" spans="1:17">
      <c r="B180">
        <v>2018</v>
      </c>
      <c r="C180" s="5">
        <v>1787</v>
      </c>
      <c r="D180" s="3">
        <v>554512</v>
      </c>
      <c r="E180" s="3">
        <v>98995234</v>
      </c>
      <c r="F180" s="5"/>
      <c r="G180" s="3"/>
      <c r="H180" s="3"/>
      <c r="I180" s="5">
        <v>855</v>
      </c>
      <c r="J180" s="3">
        <v>491455</v>
      </c>
      <c r="K180" s="3">
        <v>51437104</v>
      </c>
      <c r="L180" s="5">
        <v>1069</v>
      </c>
      <c r="M180" s="3">
        <v>245889</v>
      </c>
      <c r="N180" s="3">
        <v>126414595</v>
      </c>
      <c r="O180" s="5">
        <v>3711</v>
      </c>
      <c r="P180" s="3">
        <v>1291856</v>
      </c>
      <c r="Q180" s="3">
        <v>276846933</v>
      </c>
    </row>
    <row r="181" spans="1:17">
      <c r="B181">
        <v>2019</v>
      </c>
      <c r="C181" s="5">
        <v>2838</v>
      </c>
      <c r="D181" s="3">
        <v>1153744</v>
      </c>
      <c r="E181" s="3">
        <v>209900874</v>
      </c>
      <c r="F181" s="5">
        <v>1170</v>
      </c>
      <c r="G181" s="3">
        <v>396559</v>
      </c>
      <c r="H181" s="3">
        <v>70384637</v>
      </c>
      <c r="I181" s="5">
        <v>3059</v>
      </c>
      <c r="J181" s="3">
        <v>645035</v>
      </c>
      <c r="K181" s="3">
        <v>196788023</v>
      </c>
      <c r="L181" s="5"/>
      <c r="M181" s="3"/>
      <c r="N181" s="3"/>
      <c r="O181" s="5">
        <v>7067</v>
      </c>
      <c r="P181" s="3">
        <v>2195338</v>
      </c>
      <c r="Q181" s="3">
        <v>477073534</v>
      </c>
    </row>
    <row r="182" spans="1:17">
      <c r="B182">
        <v>2020</v>
      </c>
      <c r="C182" s="5">
        <v>376</v>
      </c>
      <c r="D182" s="3">
        <v>96562</v>
      </c>
      <c r="E182" s="3">
        <v>26445208</v>
      </c>
      <c r="F182" s="5">
        <v>531</v>
      </c>
      <c r="G182" s="3">
        <v>194587</v>
      </c>
      <c r="H182" s="3">
        <v>38867076</v>
      </c>
      <c r="I182" s="5">
        <v>4391</v>
      </c>
      <c r="J182" s="3">
        <v>1536020</v>
      </c>
      <c r="K182" s="3">
        <v>277374374</v>
      </c>
      <c r="L182" s="5">
        <v>827</v>
      </c>
      <c r="M182" s="3">
        <v>430791</v>
      </c>
      <c r="N182" s="3">
        <v>83051475</v>
      </c>
      <c r="O182" s="5">
        <v>6125</v>
      </c>
      <c r="P182" s="3">
        <v>2257960</v>
      </c>
      <c r="Q182" s="3">
        <v>425738133</v>
      </c>
    </row>
    <row r="183" spans="1:17">
      <c r="B183">
        <v>2021</v>
      </c>
      <c r="C183" s="5">
        <v>466</v>
      </c>
      <c r="D183" s="3">
        <v>296508</v>
      </c>
      <c r="E183" s="3">
        <v>26621822</v>
      </c>
      <c r="F183" s="5">
        <v>1080</v>
      </c>
      <c r="G183" s="3">
        <v>829528</v>
      </c>
      <c r="H183" s="3">
        <v>119956170</v>
      </c>
      <c r="I183" s="5">
        <v>644</v>
      </c>
      <c r="J183" s="3">
        <v>355007</v>
      </c>
      <c r="K183" s="3">
        <v>46582452</v>
      </c>
      <c r="L183" s="5">
        <v>701</v>
      </c>
      <c r="M183" s="3">
        <v>393975</v>
      </c>
      <c r="N183" s="3">
        <v>63700942</v>
      </c>
      <c r="O183" s="5">
        <v>2891</v>
      </c>
      <c r="P183" s="3">
        <v>1875018</v>
      </c>
      <c r="Q183" s="3">
        <v>256861386</v>
      </c>
    </row>
    <row r="184" spans="1:17">
      <c r="B184">
        <v>2022</v>
      </c>
      <c r="C184" s="5">
        <v>244</v>
      </c>
      <c r="D184" s="3">
        <v>480147</v>
      </c>
      <c r="E184" s="3">
        <v>28416972</v>
      </c>
      <c r="F184" s="5">
        <v>517</v>
      </c>
      <c r="G184" s="3">
        <v>223364</v>
      </c>
      <c r="H184" s="3">
        <v>52090852</v>
      </c>
      <c r="I184" s="5">
        <v>1765</v>
      </c>
      <c r="J184" s="3">
        <v>1224348</v>
      </c>
      <c r="K184" s="3">
        <v>130920688</v>
      </c>
      <c r="L184" s="5">
        <v>946</v>
      </c>
      <c r="M184" s="3">
        <v>267687</v>
      </c>
      <c r="N184" s="3">
        <v>76212738</v>
      </c>
      <c r="O184" s="5">
        <v>3472</v>
      </c>
      <c r="P184" s="3">
        <v>2195546</v>
      </c>
      <c r="Q184" s="3">
        <v>287641250</v>
      </c>
    </row>
    <row r="185" spans="1:17">
      <c r="B185">
        <v>2023</v>
      </c>
      <c r="C185" s="5">
        <v>2134</v>
      </c>
      <c r="D185" s="3">
        <v>756481</v>
      </c>
      <c r="E185" s="3">
        <v>176372477</v>
      </c>
      <c r="F185" s="5">
        <v>928</v>
      </c>
      <c r="G185" s="3">
        <v>464021</v>
      </c>
      <c r="H185" s="3">
        <v>86828320</v>
      </c>
      <c r="I185" s="5">
        <v>756</v>
      </c>
      <c r="J185" s="3">
        <v>410466</v>
      </c>
      <c r="K185" s="3">
        <v>46986156</v>
      </c>
      <c r="L185" s="5">
        <v>897</v>
      </c>
      <c r="M185" s="3">
        <v>426970</v>
      </c>
      <c r="N185" s="3">
        <v>44229276</v>
      </c>
      <c r="O185" s="5">
        <v>4715</v>
      </c>
      <c r="P185" s="3">
        <v>2057938</v>
      </c>
      <c r="Q185" s="3">
        <v>354416229</v>
      </c>
    </row>
    <row r="186" spans="1:17">
      <c r="B186">
        <v>2024</v>
      </c>
      <c r="C186" s="5">
        <v>2207</v>
      </c>
      <c r="D186" s="3">
        <v>631848</v>
      </c>
      <c r="E186" s="3">
        <v>161391780</v>
      </c>
      <c r="F186" s="5">
        <v>1436</v>
      </c>
      <c r="G186" s="3">
        <v>677872</v>
      </c>
      <c r="H186" s="3">
        <v>147522195</v>
      </c>
      <c r="I186" s="5">
        <v>1106</v>
      </c>
      <c r="J186" s="3">
        <v>788282</v>
      </c>
      <c r="K186" s="3">
        <v>66205861</v>
      </c>
      <c r="L186" s="5">
        <v>1111</v>
      </c>
      <c r="M186" s="3">
        <v>1057506</v>
      </c>
      <c r="N186" s="3">
        <v>83784461</v>
      </c>
      <c r="O186" s="5">
        <v>5860</v>
      </c>
      <c r="P186" s="3">
        <v>3155508</v>
      </c>
      <c r="Q186" s="3">
        <v>458904297</v>
      </c>
    </row>
    <row r="187" spans="1:17">
      <c r="A187" t="s">
        <v>79</v>
      </c>
      <c r="C187" s="5">
        <v>16712</v>
      </c>
      <c r="D187" s="3">
        <v>6502438</v>
      </c>
      <c r="E187" s="3">
        <v>1206114039</v>
      </c>
      <c r="F187" s="5">
        <v>7598</v>
      </c>
      <c r="G187" s="3">
        <v>3628400</v>
      </c>
      <c r="H187" s="3">
        <v>633557732</v>
      </c>
      <c r="I187" s="5">
        <v>18831</v>
      </c>
      <c r="J187" s="3">
        <v>7176753</v>
      </c>
      <c r="K187" s="3">
        <v>1327907974</v>
      </c>
      <c r="L187" s="5">
        <v>7926</v>
      </c>
      <c r="M187" s="3">
        <v>3361467</v>
      </c>
      <c r="N187" s="3">
        <v>681169186</v>
      </c>
      <c r="O187" s="5">
        <v>51067</v>
      </c>
      <c r="P187" s="3">
        <v>20669058</v>
      </c>
      <c r="Q187" s="3">
        <v>3848748931</v>
      </c>
    </row>
    <row r="188" spans="1:17">
      <c r="A188" t="s">
        <v>18</v>
      </c>
      <c r="B188">
        <v>2015</v>
      </c>
      <c r="C188" s="5">
        <v>301</v>
      </c>
      <c r="D188" s="3">
        <v>320001</v>
      </c>
      <c r="E188" s="3">
        <v>19844930</v>
      </c>
      <c r="F188" s="5">
        <v>4394</v>
      </c>
      <c r="G188" s="3">
        <v>1670421</v>
      </c>
      <c r="H188" s="3">
        <v>328808569</v>
      </c>
      <c r="I188" s="5">
        <v>4576</v>
      </c>
      <c r="J188" s="3">
        <v>1736239</v>
      </c>
      <c r="K188" s="3">
        <v>327455698</v>
      </c>
      <c r="L188" s="5">
        <v>1907</v>
      </c>
      <c r="M188" s="3">
        <v>366653</v>
      </c>
      <c r="N188" s="3">
        <v>197296033</v>
      </c>
      <c r="O188" s="5">
        <v>11178</v>
      </c>
      <c r="P188" s="3">
        <v>4093314</v>
      </c>
      <c r="Q188" s="3">
        <v>873405230</v>
      </c>
    </row>
    <row r="189" spans="1:17">
      <c r="B189">
        <v>2016</v>
      </c>
      <c r="C189" s="5">
        <v>3900</v>
      </c>
      <c r="D189" s="3">
        <v>1639586</v>
      </c>
      <c r="E189" s="3">
        <v>257644490</v>
      </c>
      <c r="F189" s="5">
        <v>1448</v>
      </c>
      <c r="G189" s="3">
        <v>1109463</v>
      </c>
      <c r="H189" s="3">
        <v>120172865</v>
      </c>
      <c r="I189" s="5">
        <v>396</v>
      </c>
      <c r="J189" s="3">
        <v>89041</v>
      </c>
      <c r="K189" s="3">
        <v>45175284</v>
      </c>
      <c r="L189" s="5">
        <v>1604</v>
      </c>
      <c r="M189" s="3">
        <v>619978</v>
      </c>
      <c r="N189" s="3">
        <v>105108814</v>
      </c>
      <c r="O189" s="5">
        <v>7348</v>
      </c>
      <c r="P189" s="3">
        <v>3458068</v>
      </c>
      <c r="Q189" s="3">
        <v>528101453</v>
      </c>
    </row>
    <row r="190" spans="1:17">
      <c r="B190">
        <v>2017</v>
      </c>
      <c r="C190" s="5">
        <v>1175</v>
      </c>
      <c r="D190" s="3">
        <v>215798</v>
      </c>
      <c r="E190" s="3">
        <v>78900566</v>
      </c>
      <c r="F190" s="5">
        <v>652</v>
      </c>
      <c r="G190" s="3">
        <v>237646</v>
      </c>
      <c r="H190" s="3">
        <v>54099700</v>
      </c>
      <c r="I190" s="5">
        <v>809</v>
      </c>
      <c r="J190" s="3">
        <v>514186</v>
      </c>
      <c r="K190" s="3">
        <v>40628611</v>
      </c>
      <c r="L190" s="5">
        <v>1384</v>
      </c>
      <c r="M190" s="3">
        <v>308122</v>
      </c>
      <c r="N190" s="3">
        <v>142539036</v>
      </c>
      <c r="O190" s="5">
        <v>4020</v>
      </c>
      <c r="P190" s="3">
        <v>1275752</v>
      </c>
      <c r="Q190" s="3">
        <v>316167913</v>
      </c>
    </row>
    <row r="191" spans="1:17">
      <c r="B191">
        <v>2018</v>
      </c>
      <c r="C191" s="5">
        <v>951</v>
      </c>
      <c r="D191" s="3">
        <v>700749</v>
      </c>
      <c r="E191" s="3">
        <v>93882515</v>
      </c>
      <c r="F191" s="5"/>
      <c r="G191" s="3"/>
      <c r="H191" s="3"/>
      <c r="I191" s="5">
        <v>966</v>
      </c>
      <c r="J191" s="3">
        <v>392424</v>
      </c>
      <c r="K191" s="3">
        <v>47192964</v>
      </c>
      <c r="L191" s="5">
        <v>898</v>
      </c>
      <c r="M191" s="3">
        <v>305095</v>
      </c>
      <c r="N191" s="3">
        <v>45525008</v>
      </c>
      <c r="O191" s="5">
        <v>2815</v>
      </c>
      <c r="P191" s="3">
        <v>1398268</v>
      </c>
      <c r="Q191" s="3">
        <v>186600487</v>
      </c>
    </row>
    <row r="192" spans="1:17">
      <c r="B192">
        <v>2019</v>
      </c>
      <c r="C192" s="5">
        <v>1482</v>
      </c>
      <c r="D192" s="3">
        <v>494580</v>
      </c>
      <c r="E192" s="3">
        <v>112719440</v>
      </c>
      <c r="F192" s="5">
        <v>3044</v>
      </c>
      <c r="G192" s="3">
        <v>1423863</v>
      </c>
      <c r="H192" s="3">
        <v>193927195</v>
      </c>
      <c r="I192" s="5">
        <v>505</v>
      </c>
      <c r="J192" s="3">
        <v>137453</v>
      </c>
      <c r="K192" s="3">
        <v>47910360</v>
      </c>
      <c r="L192" s="5">
        <v>2226</v>
      </c>
      <c r="M192" s="3">
        <v>725307</v>
      </c>
      <c r="N192" s="3">
        <v>139253193</v>
      </c>
      <c r="O192" s="5">
        <v>7257</v>
      </c>
      <c r="P192" s="3">
        <v>2781203</v>
      </c>
      <c r="Q192" s="3">
        <v>493810188</v>
      </c>
    </row>
    <row r="193" spans="1:17">
      <c r="B193">
        <v>2020</v>
      </c>
      <c r="C193" s="5">
        <v>1589</v>
      </c>
      <c r="D193" s="3">
        <v>687165</v>
      </c>
      <c r="E193" s="3">
        <v>134367778</v>
      </c>
      <c r="F193" s="5">
        <v>1860</v>
      </c>
      <c r="G193" s="3">
        <v>883788</v>
      </c>
      <c r="H193" s="3">
        <v>147005785</v>
      </c>
      <c r="I193" s="5">
        <v>377</v>
      </c>
      <c r="J193" s="3">
        <v>306157</v>
      </c>
      <c r="K193" s="3">
        <v>35387482</v>
      </c>
      <c r="L193" s="5">
        <v>1622</v>
      </c>
      <c r="M193" s="3">
        <v>1083788</v>
      </c>
      <c r="N193" s="3">
        <v>123032308</v>
      </c>
      <c r="O193" s="5">
        <v>5448</v>
      </c>
      <c r="P193" s="3">
        <v>2960898</v>
      </c>
      <c r="Q193" s="3">
        <v>439793353</v>
      </c>
    </row>
    <row r="194" spans="1:17">
      <c r="B194">
        <v>2021</v>
      </c>
      <c r="C194" s="5">
        <v>755</v>
      </c>
      <c r="D194" s="3">
        <v>329672</v>
      </c>
      <c r="E194" s="3">
        <v>59677700</v>
      </c>
      <c r="F194" s="5">
        <v>710</v>
      </c>
      <c r="G194" s="3">
        <v>163034</v>
      </c>
      <c r="H194" s="3">
        <v>81940390</v>
      </c>
      <c r="I194" s="5">
        <v>1364</v>
      </c>
      <c r="J194" s="3">
        <v>617762</v>
      </c>
      <c r="K194" s="3">
        <v>160736086</v>
      </c>
      <c r="L194" s="5">
        <v>753</v>
      </c>
      <c r="M194" s="3">
        <v>442883</v>
      </c>
      <c r="N194" s="3">
        <v>57039753</v>
      </c>
      <c r="O194" s="5">
        <v>3582</v>
      </c>
      <c r="P194" s="3">
        <v>1553351</v>
      </c>
      <c r="Q194" s="3">
        <v>359393929</v>
      </c>
    </row>
    <row r="195" spans="1:17">
      <c r="B195">
        <v>2022</v>
      </c>
      <c r="C195" s="5">
        <v>1175</v>
      </c>
      <c r="D195" s="3">
        <v>763182</v>
      </c>
      <c r="E195" s="3">
        <v>122201047</v>
      </c>
      <c r="F195" s="5">
        <v>2364</v>
      </c>
      <c r="G195" s="3">
        <v>1076221</v>
      </c>
      <c r="H195" s="3">
        <v>144206213</v>
      </c>
      <c r="I195" s="5">
        <v>407</v>
      </c>
      <c r="J195" s="3">
        <v>486442</v>
      </c>
      <c r="K195" s="3">
        <v>43198573</v>
      </c>
      <c r="L195" s="5">
        <v>2452</v>
      </c>
      <c r="M195" s="3">
        <v>1153201</v>
      </c>
      <c r="N195" s="3">
        <v>203164481</v>
      </c>
      <c r="O195" s="5">
        <v>6398</v>
      </c>
      <c r="P195" s="3">
        <v>3479046</v>
      </c>
      <c r="Q195" s="3">
        <v>512770314</v>
      </c>
    </row>
    <row r="196" spans="1:17">
      <c r="B196">
        <v>2023</v>
      </c>
      <c r="C196" s="5">
        <v>1846</v>
      </c>
      <c r="D196" s="3">
        <v>1198337</v>
      </c>
      <c r="E196" s="3">
        <v>137055133</v>
      </c>
      <c r="F196" s="5">
        <v>2462</v>
      </c>
      <c r="G196" s="3">
        <v>1006290</v>
      </c>
      <c r="H196" s="3">
        <v>188975752</v>
      </c>
      <c r="I196" s="5">
        <v>902</v>
      </c>
      <c r="J196" s="3">
        <v>651967</v>
      </c>
      <c r="K196" s="3">
        <v>79352556</v>
      </c>
      <c r="L196" s="5">
        <v>1364</v>
      </c>
      <c r="M196" s="3">
        <v>690873</v>
      </c>
      <c r="N196" s="3">
        <v>82728819</v>
      </c>
      <c r="O196" s="5">
        <v>6574</v>
      </c>
      <c r="P196" s="3">
        <v>3547467</v>
      </c>
      <c r="Q196" s="3">
        <v>488112260</v>
      </c>
    </row>
    <row r="197" spans="1:17">
      <c r="B197">
        <v>2024</v>
      </c>
      <c r="C197" s="5">
        <v>1283</v>
      </c>
      <c r="D197" s="3">
        <v>453076</v>
      </c>
      <c r="E197" s="3">
        <v>119495762</v>
      </c>
      <c r="F197" s="5">
        <v>2066</v>
      </c>
      <c r="G197" s="3">
        <v>836123</v>
      </c>
      <c r="H197" s="3">
        <v>174509957</v>
      </c>
      <c r="I197" s="5">
        <v>2040</v>
      </c>
      <c r="J197" s="3">
        <v>682616</v>
      </c>
      <c r="K197" s="3">
        <v>98304026</v>
      </c>
      <c r="L197" s="5">
        <v>1332</v>
      </c>
      <c r="M197" s="3">
        <v>903912</v>
      </c>
      <c r="N197" s="3">
        <v>90769503</v>
      </c>
      <c r="O197" s="5">
        <v>6721</v>
      </c>
      <c r="P197" s="3">
        <v>2875727</v>
      </c>
      <c r="Q197" s="3">
        <v>483079248</v>
      </c>
    </row>
    <row r="198" spans="1:17">
      <c r="A198" t="s">
        <v>80</v>
      </c>
      <c r="C198" s="5">
        <v>14457</v>
      </c>
      <c r="D198" s="3">
        <v>6802146</v>
      </c>
      <c r="E198" s="3">
        <v>1135789361</v>
      </c>
      <c r="F198" s="5">
        <v>19000</v>
      </c>
      <c r="G198" s="3">
        <v>8406849</v>
      </c>
      <c r="H198" s="3">
        <v>1433646426</v>
      </c>
      <c r="I198" s="5">
        <v>12342</v>
      </c>
      <c r="J198" s="3">
        <v>5614287</v>
      </c>
      <c r="K198" s="3">
        <v>925341640</v>
      </c>
      <c r="L198" s="5">
        <v>15542</v>
      </c>
      <c r="M198" s="3">
        <v>6599812</v>
      </c>
      <c r="N198" s="3">
        <v>1186456948</v>
      </c>
      <c r="O198" s="5">
        <v>61341</v>
      </c>
      <c r="P198" s="3">
        <v>27423094</v>
      </c>
      <c r="Q198" s="3">
        <v>4681234375</v>
      </c>
    </row>
    <row r="199" spans="1:17">
      <c r="A199" t="s">
        <v>42</v>
      </c>
      <c r="B199">
        <v>2015</v>
      </c>
      <c r="C199" s="5">
        <v>3649</v>
      </c>
      <c r="D199" s="3">
        <v>1167005</v>
      </c>
      <c r="E199" s="3">
        <v>237834561</v>
      </c>
      <c r="F199" s="5">
        <v>3274</v>
      </c>
      <c r="G199" s="3">
        <v>1123878</v>
      </c>
      <c r="H199" s="3">
        <v>222725805</v>
      </c>
      <c r="I199" s="5">
        <v>1935</v>
      </c>
      <c r="J199" s="3">
        <v>1150062</v>
      </c>
      <c r="K199" s="3">
        <v>188421053</v>
      </c>
      <c r="L199" s="5">
        <v>2898</v>
      </c>
      <c r="M199" s="3">
        <v>690521</v>
      </c>
      <c r="N199" s="3">
        <v>195709240</v>
      </c>
      <c r="O199" s="5">
        <v>11756</v>
      </c>
      <c r="P199" s="3">
        <v>4131466</v>
      </c>
      <c r="Q199" s="3">
        <v>844690659</v>
      </c>
    </row>
    <row r="200" spans="1:17">
      <c r="B200">
        <v>2016</v>
      </c>
      <c r="C200" s="5">
        <v>529</v>
      </c>
      <c r="D200" s="3">
        <v>126208</v>
      </c>
      <c r="E200" s="3">
        <v>20000961</v>
      </c>
      <c r="F200" s="5">
        <v>1639</v>
      </c>
      <c r="G200" s="3">
        <v>900045</v>
      </c>
      <c r="H200" s="3">
        <v>116707590</v>
      </c>
      <c r="I200" s="5">
        <v>1788</v>
      </c>
      <c r="J200" s="3">
        <v>695185</v>
      </c>
      <c r="K200" s="3">
        <v>138012504</v>
      </c>
      <c r="L200" s="5"/>
      <c r="M200" s="3"/>
      <c r="N200" s="3"/>
      <c r="O200" s="5">
        <v>3956</v>
      </c>
      <c r="P200" s="3">
        <v>1721438</v>
      </c>
      <c r="Q200" s="3">
        <v>274721055</v>
      </c>
    </row>
    <row r="201" spans="1:17">
      <c r="B201">
        <v>2017</v>
      </c>
      <c r="C201" s="5"/>
      <c r="D201" s="3"/>
      <c r="E201" s="3"/>
      <c r="F201" s="5">
        <v>5471</v>
      </c>
      <c r="G201" s="3">
        <v>2200591</v>
      </c>
      <c r="H201" s="3">
        <v>384280112</v>
      </c>
      <c r="I201" s="5">
        <v>2967</v>
      </c>
      <c r="J201" s="3">
        <v>1021147</v>
      </c>
      <c r="K201" s="3">
        <v>203962180</v>
      </c>
      <c r="L201" s="5">
        <v>2937</v>
      </c>
      <c r="M201" s="3">
        <v>1101196</v>
      </c>
      <c r="N201" s="3">
        <v>260037928</v>
      </c>
      <c r="O201" s="5">
        <v>11375</v>
      </c>
      <c r="P201" s="3">
        <v>4322934</v>
      </c>
      <c r="Q201" s="3">
        <v>848280220</v>
      </c>
    </row>
    <row r="202" spans="1:17">
      <c r="B202">
        <v>2018</v>
      </c>
      <c r="C202" s="5">
        <v>2357</v>
      </c>
      <c r="D202" s="3">
        <v>882033</v>
      </c>
      <c r="E202" s="3">
        <v>207658842</v>
      </c>
      <c r="F202" s="5">
        <v>2836</v>
      </c>
      <c r="G202" s="3">
        <v>1659920</v>
      </c>
      <c r="H202" s="3">
        <v>257837507</v>
      </c>
      <c r="I202" s="5">
        <v>1332</v>
      </c>
      <c r="J202" s="3">
        <v>493133</v>
      </c>
      <c r="K202" s="3">
        <v>63739060</v>
      </c>
      <c r="L202" s="5">
        <v>3292</v>
      </c>
      <c r="M202" s="3">
        <v>2079270</v>
      </c>
      <c r="N202" s="3">
        <v>253792738</v>
      </c>
      <c r="O202" s="5">
        <v>9817</v>
      </c>
      <c r="P202" s="3">
        <v>5114356</v>
      </c>
      <c r="Q202" s="3">
        <v>783028147</v>
      </c>
    </row>
    <row r="203" spans="1:17">
      <c r="B203">
        <v>2019</v>
      </c>
      <c r="C203" s="5">
        <v>1631</v>
      </c>
      <c r="D203" s="3">
        <v>660426</v>
      </c>
      <c r="E203" s="3">
        <v>99581729</v>
      </c>
      <c r="F203" s="5">
        <v>2270</v>
      </c>
      <c r="G203" s="3">
        <v>596864</v>
      </c>
      <c r="H203" s="3">
        <v>98944372</v>
      </c>
      <c r="I203" s="5">
        <v>1204</v>
      </c>
      <c r="J203" s="3">
        <v>515582</v>
      </c>
      <c r="K203" s="3">
        <v>104857739</v>
      </c>
      <c r="L203" s="5">
        <v>2611</v>
      </c>
      <c r="M203" s="3">
        <v>671448</v>
      </c>
      <c r="N203" s="3">
        <v>263758866</v>
      </c>
      <c r="O203" s="5">
        <v>7716</v>
      </c>
      <c r="P203" s="3">
        <v>2444320</v>
      </c>
      <c r="Q203" s="3">
        <v>567142706</v>
      </c>
    </row>
    <row r="204" spans="1:17">
      <c r="B204">
        <v>2020</v>
      </c>
      <c r="C204" s="5">
        <v>2900</v>
      </c>
      <c r="D204" s="3">
        <v>833525</v>
      </c>
      <c r="E204" s="3">
        <v>277037063</v>
      </c>
      <c r="F204" s="5">
        <v>355</v>
      </c>
      <c r="G204" s="3">
        <v>104144</v>
      </c>
      <c r="H204" s="3">
        <v>37443270</v>
      </c>
      <c r="I204" s="5">
        <v>1825</v>
      </c>
      <c r="J204" s="3">
        <v>621173</v>
      </c>
      <c r="K204" s="3">
        <v>91950681</v>
      </c>
      <c r="L204" s="5">
        <v>1748</v>
      </c>
      <c r="M204" s="3">
        <v>816079</v>
      </c>
      <c r="N204" s="3">
        <v>142600028</v>
      </c>
      <c r="O204" s="5">
        <v>6828</v>
      </c>
      <c r="P204" s="3">
        <v>2374921</v>
      </c>
      <c r="Q204" s="3">
        <v>549031042</v>
      </c>
    </row>
    <row r="205" spans="1:17">
      <c r="B205">
        <v>2021</v>
      </c>
      <c r="C205" s="5">
        <v>2462</v>
      </c>
      <c r="D205" s="3">
        <v>1023664</v>
      </c>
      <c r="E205" s="3">
        <v>178475958</v>
      </c>
      <c r="F205" s="5">
        <v>562</v>
      </c>
      <c r="G205" s="3">
        <v>794386</v>
      </c>
      <c r="H205" s="3">
        <v>27482641</v>
      </c>
      <c r="I205" s="5"/>
      <c r="J205" s="3"/>
      <c r="K205" s="3"/>
      <c r="L205" s="5">
        <v>1119</v>
      </c>
      <c r="M205" s="3">
        <v>451722</v>
      </c>
      <c r="N205" s="3">
        <v>88818007</v>
      </c>
      <c r="O205" s="5">
        <v>4143</v>
      </c>
      <c r="P205" s="3">
        <v>2269772</v>
      </c>
      <c r="Q205" s="3">
        <v>294776606</v>
      </c>
    </row>
    <row r="206" spans="1:17">
      <c r="B206">
        <v>2022</v>
      </c>
      <c r="C206" s="5">
        <v>712</v>
      </c>
      <c r="D206" s="3">
        <v>414633</v>
      </c>
      <c r="E206" s="3">
        <v>37652696</v>
      </c>
      <c r="F206" s="5">
        <v>2244</v>
      </c>
      <c r="G206" s="3">
        <v>945625</v>
      </c>
      <c r="H206" s="3">
        <v>145671056</v>
      </c>
      <c r="I206" s="5">
        <v>2717</v>
      </c>
      <c r="J206" s="3">
        <v>591158</v>
      </c>
      <c r="K206" s="3">
        <v>250546877</v>
      </c>
      <c r="L206" s="5"/>
      <c r="M206" s="3"/>
      <c r="N206" s="3"/>
      <c r="O206" s="5">
        <v>5673</v>
      </c>
      <c r="P206" s="3">
        <v>1951416</v>
      </c>
      <c r="Q206" s="3">
        <v>433870629</v>
      </c>
    </row>
    <row r="207" spans="1:17">
      <c r="B207">
        <v>2023</v>
      </c>
      <c r="C207" s="5">
        <v>482</v>
      </c>
      <c r="D207" s="3">
        <v>364853</v>
      </c>
      <c r="E207" s="3">
        <v>28775400</v>
      </c>
      <c r="F207" s="5">
        <v>2040</v>
      </c>
      <c r="G207" s="3">
        <v>415624</v>
      </c>
      <c r="H207" s="3">
        <v>216304065</v>
      </c>
      <c r="I207" s="5">
        <v>432</v>
      </c>
      <c r="J207" s="3">
        <v>109164</v>
      </c>
      <c r="K207" s="3">
        <v>42211584</v>
      </c>
      <c r="L207" s="5">
        <v>1138</v>
      </c>
      <c r="M207" s="3">
        <v>584290</v>
      </c>
      <c r="N207" s="3">
        <v>89288356</v>
      </c>
      <c r="O207" s="5">
        <v>4092</v>
      </c>
      <c r="P207" s="3">
        <v>1473931</v>
      </c>
      <c r="Q207" s="3">
        <v>376579405</v>
      </c>
    </row>
    <row r="208" spans="1:17">
      <c r="B208">
        <v>2024</v>
      </c>
      <c r="C208" s="5">
        <v>2318</v>
      </c>
      <c r="D208" s="3">
        <v>880482</v>
      </c>
      <c r="E208" s="3">
        <v>223601164</v>
      </c>
      <c r="F208" s="5">
        <v>3040</v>
      </c>
      <c r="G208" s="3">
        <v>1538321</v>
      </c>
      <c r="H208" s="3">
        <v>227468199</v>
      </c>
      <c r="I208" s="5">
        <v>2644</v>
      </c>
      <c r="J208" s="3">
        <v>781627</v>
      </c>
      <c r="K208" s="3">
        <v>200334508</v>
      </c>
      <c r="L208" s="5"/>
      <c r="M208" s="3"/>
      <c r="N208" s="3"/>
      <c r="O208" s="5">
        <v>8002</v>
      </c>
      <c r="P208" s="3">
        <v>3200430</v>
      </c>
      <c r="Q208" s="3">
        <v>651403871</v>
      </c>
    </row>
    <row r="209" spans="1:17">
      <c r="A209" t="s">
        <v>81</v>
      </c>
      <c r="C209" s="5">
        <v>17040</v>
      </c>
      <c r="D209" s="3">
        <v>6352829</v>
      </c>
      <c r="E209" s="3">
        <v>1310618374</v>
      </c>
      <c r="F209" s="5">
        <v>23731</v>
      </c>
      <c r="G209" s="3">
        <v>10279398</v>
      </c>
      <c r="H209" s="3">
        <v>1734864617</v>
      </c>
      <c r="I209" s="5">
        <v>16844</v>
      </c>
      <c r="J209" s="3">
        <v>5978231</v>
      </c>
      <c r="K209" s="3">
        <v>1284036186</v>
      </c>
      <c r="L209" s="5">
        <v>15743</v>
      </c>
      <c r="M209" s="3">
        <v>6394526</v>
      </c>
      <c r="N209" s="3">
        <v>1294005163</v>
      </c>
      <c r="O209" s="5">
        <v>73358</v>
      </c>
      <c r="P209" s="3">
        <v>29004984</v>
      </c>
      <c r="Q209" s="3">
        <v>5623524340</v>
      </c>
    </row>
    <row r="210" spans="1:17">
      <c r="A210" t="s">
        <v>32</v>
      </c>
      <c r="B210">
        <v>2015</v>
      </c>
      <c r="C210" s="5">
        <v>1159</v>
      </c>
      <c r="D210" s="3">
        <v>567901</v>
      </c>
      <c r="E210" s="3">
        <v>75030438</v>
      </c>
      <c r="F210" s="5">
        <v>2194</v>
      </c>
      <c r="G210" s="3">
        <v>1394655</v>
      </c>
      <c r="H210" s="3">
        <v>165905676</v>
      </c>
      <c r="I210" s="5">
        <v>3825</v>
      </c>
      <c r="J210" s="3">
        <v>1679476</v>
      </c>
      <c r="K210" s="3">
        <v>300739213</v>
      </c>
      <c r="L210" s="5">
        <v>1379</v>
      </c>
      <c r="M210" s="3">
        <v>551762</v>
      </c>
      <c r="N210" s="3">
        <v>94875975</v>
      </c>
      <c r="O210" s="5">
        <v>8557</v>
      </c>
      <c r="P210" s="3">
        <v>4193794</v>
      </c>
      <c r="Q210" s="3">
        <v>636551302</v>
      </c>
    </row>
    <row r="211" spans="1:17">
      <c r="B211">
        <v>2016</v>
      </c>
      <c r="C211" s="5">
        <v>1151</v>
      </c>
      <c r="D211" s="3">
        <v>360915</v>
      </c>
      <c r="E211" s="3">
        <v>97097845</v>
      </c>
      <c r="F211" s="5">
        <v>1638</v>
      </c>
      <c r="G211" s="3">
        <v>835474</v>
      </c>
      <c r="H211" s="3">
        <v>99528181</v>
      </c>
      <c r="I211" s="5">
        <v>1803</v>
      </c>
      <c r="J211" s="3">
        <v>544914</v>
      </c>
      <c r="K211" s="3">
        <v>182723455</v>
      </c>
      <c r="L211" s="5">
        <v>625</v>
      </c>
      <c r="M211" s="3">
        <v>475643</v>
      </c>
      <c r="N211" s="3">
        <v>64123750</v>
      </c>
      <c r="O211" s="5">
        <v>5217</v>
      </c>
      <c r="P211" s="3">
        <v>2216946</v>
      </c>
      <c r="Q211" s="3">
        <v>443473231</v>
      </c>
    </row>
    <row r="212" spans="1:17">
      <c r="B212">
        <v>2017</v>
      </c>
      <c r="C212" s="5">
        <v>1718</v>
      </c>
      <c r="D212" s="3">
        <v>1230313</v>
      </c>
      <c r="E212" s="3">
        <v>102432085</v>
      </c>
      <c r="F212" s="5">
        <v>3818</v>
      </c>
      <c r="G212" s="3">
        <v>1927831</v>
      </c>
      <c r="H212" s="3">
        <v>239390257</v>
      </c>
      <c r="I212" s="5">
        <v>2593</v>
      </c>
      <c r="J212" s="3">
        <v>1496044</v>
      </c>
      <c r="K212" s="3">
        <v>139987748</v>
      </c>
      <c r="L212" s="5">
        <v>2169</v>
      </c>
      <c r="M212" s="3">
        <v>1125863</v>
      </c>
      <c r="N212" s="3">
        <v>197182679</v>
      </c>
      <c r="O212" s="5">
        <v>10298</v>
      </c>
      <c r="P212" s="3">
        <v>5780051</v>
      </c>
      <c r="Q212" s="3">
        <v>678992769</v>
      </c>
    </row>
    <row r="213" spans="1:17">
      <c r="B213">
        <v>2018</v>
      </c>
      <c r="C213" s="5">
        <v>1403</v>
      </c>
      <c r="D213" s="3">
        <v>600914</v>
      </c>
      <c r="E213" s="3">
        <v>119470340</v>
      </c>
      <c r="F213" s="5">
        <v>2092</v>
      </c>
      <c r="G213" s="3">
        <v>1013215</v>
      </c>
      <c r="H213" s="3">
        <v>133438049</v>
      </c>
      <c r="I213" s="5"/>
      <c r="J213" s="3"/>
      <c r="K213" s="3"/>
      <c r="L213" s="5">
        <v>3406</v>
      </c>
      <c r="M213" s="3">
        <v>1447802</v>
      </c>
      <c r="N213" s="3">
        <v>306014423</v>
      </c>
      <c r="O213" s="5">
        <v>6901</v>
      </c>
      <c r="P213" s="3">
        <v>3061931</v>
      </c>
      <c r="Q213" s="3">
        <v>558922812</v>
      </c>
    </row>
    <row r="214" spans="1:17">
      <c r="B214">
        <v>2019</v>
      </c>
      <c r="C214" s="5">
        <v>951</v>
      </c>
      <c r="D214" s="3">
        <v>383245</v>
      </c>
      <c r="E214" s="3">
        <v>103535370</v>
      </c>
      <c r="F214" s="5">
        <v>4057</v>
      </c>
      <c r="G214" s="3">
        <v>1518037</v>
      </c>
      <c r="H214" s="3">
        <v>220244662</v>
      </c>
      <c r="I214" s="5">
        <v>750</v>
      </c>
      <c r="J214" s="3">
        <v>234381</v>
      </c>
      <c r="K214" s="3">
        <v>68430000</v>
      </c>
      <c r="L214" s="5"/>
      <c r="M214" s="3"/>
      <c r="N214" s="3"/>
      <c r="O214" s="5">
        <v>5758</v>
      </c>
      <c r="P214" s="3">
        <v>2135663</v>
      </c>
      <c r="Q214" s="3">
        <v>392210032</v>
      </c>
    </row>
    <row r="215" spans="1:17">
      <c r="B215">
        <v>2020</v>
      </c>
      <c r="C215" s="5">
        <v>1538</v>
      </c>
      <c r="D215" s="3">
        <v>1252035</v>
      </c>
      <c r="E215" s="3">
        <v>153682539</v>
      </c>
      <c r="F215" s="5">
        <v>521</v>
      </c>
      <c r="G215" s="3">
        <v>276179</v>
      </c>
      <c r="H215" s="3">
        <v>41861829</v>
      </c>
      <c r="I215" s="5">
        <v>2307</v>
      </c>
      <c r="J215" s="3">
        <v>1090123</v>
      </c>
      <c r="K215" s="3">
        <v>148118086</v>
      </c>
      <c r="L215" s="5">
        <v>369</v>
      </c>
      <c r="M215" s="3">
        <v>208901</v>
      </c>
      <c r="N215" s="3">
        <v>15584715</v>
      </c>
      <c r="O215" s="5">
        <v>4735</v>
      </c>
      <c r="P215" s="3">
        <v>2827238</v>
      </c>
      <c r="Q215" s="3">
        <v>359247169</v>
      </c>
    </row>
    <row r="216" spans="1:17">
      <c r="B216">
        <v>2021</v>
      </c>
      <c r="C216" s="5">
        <v>2912</v>
      </c>
      <c r="D216" s="3">
        <v>945782</v>
      </c>
      <c r="E216" s="3">
        <v>211535852</v>
      </c>
      <c r="F216" s="5">
        <v>1525</v>
      </c>
      <c r="G216" s="3">
        <v>374021</v>
      </c>
      <c r="H216" s="3">
        <v>133734438</v>
      </c>
      <c r="I216" s="5"/>
      <c r="J216" s="3"/>
      <c r="K216" s="3"/>
      <c r="L216" s="5">
        <v>1417</v>
      </c>
      <c r="M216" s="3">
        <v>509222</v>
      </c>
      <c r="N216" s="3">
        <v>114261493</v>
      </c>
      <c r="O216" s="5">
        <v>5854</v>
      </c>
      <c r="P216" s="3">
        <v>1829025</v>
      </c>
      <c r="Q216" s="3">
        <v>459531783</v>
      </c>
    </row>
    <row r="217" spans="1:17">
      <c r="B217">
        <v>2022</v>
      </c>
      <c r="C217" s="5">
        <v>2259</v>
      </c>
      <c r="D217" s="3">
        <v>1061764</v>
      </c>
      <c r="E217" s="3">
        <v>167836497</v>
      </c>
      <c r="F217" s="5">
        <v>2520</v>
      </c>
      <c r="G217" s="3">
        <v>514695</v>
      </c>
      <c r="H217" s="3">
        <v>214277335</v>
      </c>
      <c r="I217" s="5">
        <v>386</v>
      </c>
      <c r="J217" s="3">
        <v>52637</v>
      </c>
      <c r="K217" s="3">
        <v>32400840</v>
      </c>
      <c r="L217" s="5">
        <v>476</v>
      </c>
      <c r="M217" s="3">
        <v>432650</v>
      </c>
      <c r="N217" s="3">
        <v>31306996</v>
      </c>
      <c r="O217" s="5">
        <v>5641</v>
      </c>
      <c r="P217" s="3">
        <v>2061746</v>
      </c>
      <c r="Q217" s="3">
        <v>445821668</v>
      </c>
    </row>
    <row r="218" spans="1:17">
      <c r="B218">
        <v>2023</v>
      </c>
      <c r="C218" s="5">
        <v>847</v>
      </c>
      <c r="D218" s="3">
        <v>323365</v>
      </c>
      <c r="E218" s="3">
        <v>88770682</v>
      </c>
      <c r="F218" s="5">
        <v>2305</v>
      </c>
      <c r="G218" s="3">
        <v>1067565</v>
      </c>
      <c r="H218" s="3">
        <v>216043367</v>
      </c>
      <c r="I218" s="5">
        <v>1512</v>
      </c>
      <c r="J218" s="3">
        <v>958723</v>
      </c>
      <c r="K218" s="3">
        <v>140895245</v>
      </c>
      <c r="L218" s="5">
        <v>895</v>
      </c>
      <c r="M218" s="3">
        <v>196456</v>
      </c>
      <c r="N218" s="3">
        <v>66513684</v>
      </c>
      <c r="O218" s="5">
        <v>5559</v>
      </c>
      <c r="P218" s="3">
        <v>2546109</v>
      </c>
      <c r="Q218" s="3">
        <v>512222978</v>
      </c>
    </row>
    <row r="219" spans="1:17">
      <c r="B219">
        <v>2024</v>
      </c>
      <c r="C219" s="5">
        <v>409</v>
      </c>
      <c r="D219" s="3">
        <v>287474</v>
      </c>
      <c r="E219" s="3">
        <v>26885206</v>
      </c>
      <c r="F219" s="5">
        <v>2674</v>
      </c>
      <c r="G219" s="3">
        <v>1533791</v>
      </c>
      <c r="H219" s="3">
        <v>238722632</v>
      </c>
      <c r="I219" s="5">
        <v>1302</v>
      </c>
      <c r="J219" s="3">
        <v>921979</v>
      </c>
      <c r="K219" s="3">
        <v>88814061</v>
      </c>
      <c r="L219" s="5">
        <v>2600</v>
      </c>
      <c r="M219" s="3">
        <v>750099</v>
      </c>
      <c r="N219" s="3">
        <v>185730500</v>
      </c>
      <c r="O219" s="5">
        <v>6985</v>
      </c>
      <c r="P219" s="3">
        <v>3493343</v>
      </c>
      <c r="Q219" s="3">
        <v>540152399</v>
      </c>
    </row>
    <row r="220" spans="1:17">
      <c r="A220" t="s">
        <v>82</v>
      </c>
      <c r="C220" s="5">
        <v>14347</v>
      </c>
      <c r="D220" s="3">
        <v>7013708</v>
      </c>
      <c r="E220" s="3">
        <v>1146276854</v>
      </c>
      <c r="F220" s="5">
        <v>23344</v>
      </c>
      <c r="G220" s="3">
        <v>10455463</v>
      </c>
      <c r="H220" s="3">
        <v>1703146426</v>
      </c>
      <c r="I220" s="5">
        <v>14478</v>
      </c>
      <c r="J220" s="3">
        <v>6978277</v>
      </c>
      <c r="K220" s="3">
        <v>1102108648</v>
      </c>
      <c r="L220" s="5">
        <v>13336</v>
      </c>
      <c r="M220" s="3">
        <v>5698398</v>
      </c>
      <c r="N220" s="3">
        <v>1075594215</v>
      </c>
      <c r="O220" s="5">
        <v>65505</v>
      </c>
      <c r="P220" s="3">
        <v>30145846</v>
      </c>
      <c r="Q220" s="3">
        <v>5027126143</v>
      </c>
    </row>
    <row r="221" spans="1:17">
      <c r="A221" t="s">
        <v>36</v>
      </c>
      <c r="B221">
        <v>2015</v>
      </c>
      <c r="C221" s="5">
        <v>4273</v>
      </c>
      <c r="D221" s="3">
        <v>1873135</v>
      </c>
      <c r="E221" s="3">
        <v>264090901</v>
      </c>
      <c r="F221" s="5">
        <v>941</v>
      </c>
      <c r="G221" s="3">
        <v>893793</v>
      </c>
      <c r="H221" s="3">
        <v>98223847</v>
      </c>
      <c r="I221" s="5"/>
      <c r="J221" s="3"/>
      <c r="K221" s="3"/>
      <c r="L221" s="5">
        <v>1896</v>
      </c>
      <c r="M221" s="3">
        <v>1045614</v>
      </c>
      <c r="N221" s="3">
        <v>170533047</v>
      </c>
      <c r="O221" s="5">
        <v>7110</v>
      </c>
      <c r="P221" s="3">
        <v>3812542</v>
      </c>
      <c r="Q221" s="3">
        <v>532847795</v>
      </c>
    </row>
    <row r="222" spans="1:17">
      <c r="B222">
        <v>2016</v>
      </c>
      <c r="C222" s="5">
        <v>540</v>
      </c>
      <c r="D222" s="3">
        <v>81625</v>
      </c>
      <c r="E222" s="3">
        <v>47775420</v>
      </c>
      <c r="F222" s="5">
        <v>290</v>
      </c>
      <c r="G222" s="3">
        <v>372245</v>
      </c>
      <c r="H222" s="3">
        <v>34252190</v>
      </c>
      <c r="I222" s="5">
        <v>632</v>
      </c>
      <c r="J222" s="3">
        <v>495527</v>
      </c>
      <c r="K222" s="3">
        <v>27928080</v>
      </c>
      <c r="L222" s="5">
        <v>1208</v>
      </c>
      <c r="M222" s="3">
        <v>506697</v>
      </c>
      <c r="N222" s="3">
        <v>126149736</v>
      </c>
      <c r="O222" s="5">
        <v>2670</v>
      </c>
      <c r="P222" s="3">
        <v>1456094</v>
      </c>
      <c r="Q222" s="3">
        <v>236105426</v>
      </c>
    </row>
    <row r="223" spans="1:17">
      <c r="B223">
        <v>2017</v>
      </c>
      <c r="C223" s="5">
        <v>889</v>
      </c>
      <c r="D223" s="3">
        <v>333817</v>
      </c>
      <c r="E223" s="3">
        <v>90435303</v>
      </c>
      <c r="F223" s="5">
        <v>1268</v>
      </c>
      <c r="G223" s="3">
        <v>769273</v>
      </c>
      <c r="H223" s="3">
        <v>86716667</v>
      </c>
      <c r="I223" s="5">
        <v>718</v>
      </c>
      <c r="J223" s="3">
        <v>277693</v>
      </c>
      <c r="K223" s="3">
        <v>64886378</v>
      </c>
      <c r="L223" s="5">
        <v>880</v>
      </c>
      <c r="M223" s="3">
        <v>274699</v>
      </c>
      <c r="N223" s="3">
        <v>103191440</v>
      </c>
      <c r="O223" s="5">
        <v>3755</v>
      </c>
      <c r="P223" s="3">
        <v>1655482</v>
      </c>
      <c r="Q223" s="3">
        <v>345229788</v>
      </c>
    </row>
    <row r="224" spans="1:17">
      <c r="B224">
        <v>2018</v>
      </c>
      <c r="C224" s="5">
        <v>530</v>
      </c>
      <c r="D224" s="3">
        <v>320665</v>
      </c>
      <c r="E224" s="3">
        <v>27094660</v>
      </c>
      <c r="F224" s="5">
        <v>2285</v>
      </c>
      <c r="G224" s="3">
        <v>447857</v>
      </c>
      <c r="H224" s="3">
        <v>228631293</v>
      </c>
      <c r="I224" s="5">
        <v>397</v>
      </c>
      <c r="J224" s="3">
        <v>529516</v>
      </c>
      <c r="K224" s="3">
        <v>36082311</v>
      </c>
      <c r="L224" s="5">
        <v>243</v>
      </c>
      <c r="M224" s="3">
        <v>484044</v>
      </c>
      <c r="N224" s="3">
        <v>18744291</v>
      </c>
      <c r="O224" s="5">
        <v>3455</v>
      </c>
      <c r="P224" s="3">
        <v>1782082</v>
      </c>
      <c r="Q224" s="3">
        <v>310552555</v>
      </c>
    </row>
    <row r="225" spans="1:17">
      <c r="B225">
        <v>2019</v>
      </c>
      <c r="C225" s="5">
        <v>1443</v>
      </c>
      <c r="D225" s="3">
        <v>605207</v>
      </c>
      <c r="E225" s="3">
        <v>149619251</v>
      </c>
      <c r="F225" s="5">
        <v>861</v>
      </c>
      <c r="G225" s="3">
        <v>399345</v>
      </c>
      <c r="H225" s="3">
        <v>97063113</v>
      </c>
      <c r="I225" s="5">
        <v>2007</v>
      </c>
      <c r="J225" s="3">
        <v>936697</v>
      </c>
      <c r="K225" s="3">
        <v>137605680</v>
      </c>
      <c r="L225" s="5">
        <v>930</v>
      </c>
      <c r="M225" s="3">
        <v>194240</v>
      </c>
      <c r="N225" s="3">
        <v>96479811</v>
      </c>
      <c r="O225" s="5">
        <v>5241</v>
      </c>
      <c r="P225" s="3">
        <v>2135489</v>
      </c>
      <c r="Q225" s="3">
        <v>480767855</v>
      </c>
    </row>
    <row r="226" spans="1:17">
      <c r="B226">
        <v>2020</v>
      </c>
      <c r="C226" s="5">
        <v>1076</v>
      </c>
      <c r="D226" s="3">
        <v>843670</v>
      </c>
      <c r="E226" s="3">
        <v>55390504</v>
      </c>
      <c r="F226" s="5">
        <v>2883</v>
      </c>
      <c r="G226" s="3">
        <v>1717064</v>
      </c>
      <c r="H226" s="3">
        <v>185112185</v>
      </c>
      <c r="I226" s="5">
        <v>407</v>
      </c>
      <c r="J226" s="3">
        <v>401136</v>
      </c>
      <c r="K226" s="3">
        <v>29319466</v>
      </c>
      <c r="L226" s="5">
        <v>479</v>
      </c>
      <c r="M226" s="3">
        <v>229845</v>
      </c>
      <c r="N226" s="3">
        <v>47256224</v>
      </c>
      <c r="O226" s="5">
        <v>4845</v>
      </c>
      <c r="P226" s="3">
        <v>3191715</v>
      </c>
      <c r="Q226" s="3">
        <v>317078379</v>
      </c>
    </row>
    <row r="227" spans="1:17">
      <c r="B227">
        <v>2021</v>
      </c>
      <c r="C227" s="5">
        <v>3241</v>
      </c>
      <c r="D227" s="3">
        <v>1477488</v>
      </c>
      <c r="E227" s="3">
        <v>185758754</v>
      </c>
      <c r="F227" s="5">
        <v>1918</v>
      </c>
      <c r="G227" s="3">
        <v>395861</v>
      </c>
      <c r="H227" s="3">
        <v>153901804</v>
      </c>
      <c r="I227" s="5">
        <v>689</v>
      </c>
      <c r="J227" s="3">
        <v>463130</v>
      </c>
      <c r="K227" s="3">
        <v>43897298</v>
      </c>
      <c r="L227" s="5">
        <v>1285</v>
      </c>
      <c r="M227" s="3">
        <v>674229</v>
      </c>
      <c r="N227" s="3">
        <v>123523969</v>
      </c>
      <c r="O227" s="5">
        <v>7133</v>
      </c>
      <c r="P227" s="3">
        <v>3010708</v>
      </c>
      <c r="Q227" s="3">
        <v>507081825</v>
      </c>
    </row>
    <row r="228" spans="1:17">
      <c r="B228">
        <v>2022</v>
      </c>
      <c r="C228" s="5">
        <v>1947</v>
      </c>
      <c r="D228" s="3">
        <v>1230289</v>
      </c>
      <c r="E228" s="3">
        <v>159796678</v>
      </c>
      <c r="F228" s="5">
        <v>1606</v>
      </c>
      <c r="G228" s="3">
        <v>424921</v>
      </c>
      <c r="H228" s="3">
        <v>95803410</v>
      </c>
      <c r="I228" s="5">
        <v>2380</v>
      </c>
      <c r="J228" s="3">
        <v>1050894</v>
      </c>
      <c r="K228" s="3">
        <v>200093231</v>
      </c>
      <c r="L228" s="5"/>
      <c r="M228" s="3"/>
      <c r="N228" s="3"/>
      <c r="O228" s="5">
        <v>5933</v>
      </c>
      <c r="P228" s="3">
        <v>2706104</v>
      </c>
      <c r="Q228" s="3">
        <v>455693319</v>
      </c>
    </row>
    <row r="229" spans="1:17">
      <c r="B229">
        <v>2023</v>
      </c>
      <c r="C229" s="5">
        <v>1112</v>
      </c>
      <c r="D229" s="3">
        <v>557211</v>
      </c>
      <c r="E229" s="3">
        <v>90922429</v>
      </c>
      <c r="F229" s="5">
        <v>2742</v>
      </c>
      <c r="G229" s="3">
        <v>1087105</v>
      </c>
      <c r="H229" s="3">
        <v>281380808</v>
      </c>
      <c r="I229" s="5">
        <v>3132</v>
      </c>
      <c r="J229" s="3">
        <v>1223795</v>
      </c>
      <c r="K229" s="3">
        <v>181065393</v>
      </c>
      <c r="L229" s="5"/>
      <c r="M229" s="3"/>
      <c r="N229" s="3"/>
      <c r="O229" s="5">
        <v>6986</v>
      </c>
      <c r="P229" s="3">
        <v>2868111</v>
      </c>
      <c r="Q229" s="3">
        <v>553368630</v>
      </c>
    </row>
    <row r="230" spans="1:17">
      <c r="B230">
        <v>2024</v>
      </c>
      <c r="C230" s="5">
        <v>1925</v>
      </c>
      <c r="D230" s="3">
        <v>834851</v>
      </c>
      <c r="E230" s="3">
        <v>188992018</v>
      </c>
      <c r="F230" s="5">
        <v>1598</v>
      </c>
      <c r="G230" s="3">
        <v>803050</v>
      </c>
      <c r="H230" s="3">
        <v>132793930</v>
      </c>
      <c r="I230" s="5">
        <v>1228</v>
      </c>
      <c r="J230" s="3">
        <v>772454</v>
      </c>
      <c r="K230" s="3">
        <v>78433261</v>
      </c>
      <c r="L230" s="5">
        <v>1439</v>
      </c>
      <c r="M230" s="3">
        <v>774983</v>
      </c>
      <c r="N230" s="3">
        <v>94259400</v>
      </c>
      <c r="O230" s="5">
        <v>6190</v>
      </c>
      <c r="P230" s="3">
        <v>3185338</v>
      </c>
      <c r="Q230" s="3">
        <v>494478609</v>
      </c>
    </row>
    <row r="231" spans="1:17">
      <c r="A231" t="s">
        <v>83</v>
      </c>
      <c r="C231" s="5">
        <v>16976</v>
      </c>
      <c r="D231" s="3">
        <v>8157958</v>
      </c>
      <c r="E231" s="3">
        <v>1259875918</v>
      </c>
      <c r="F231" s="5">
        <v>16392</v>
      </c>
      <c r="G231" s="3">
        <v>7310514</v>
      </c>
      <c r="H231" s="3">
        <v>1393879247</v>
      </c>
      <c r="I231" s="5">
        <v>11590</v>
      </c>
      <c r="J231" s="3">
        <v>6150842</v>
      </c>
      <c r="K231" s="3">
        <v>799311098</v>
      </c>
      <c r="L231" s="5">
        <v>8360</v>
      </c>
      <c r="M231" s="3">
        <v>4184351</v>
      </c>
      <c r="N231" s="3">
        <v>780137918</v>
      </c>
      <c r="O231" s="5">
        <v>53318</v>
      </c>
      <c r="P231" s="3">
        <v>25803665</v>
      </c>
      <c r="Q231" s="3">
        <v>4233204181</v>
      </c>
    </row>
    <row r="232" spans="1:17">
      <c r="A232" t="s">
        <v>70</v>
      </c>
      <c r="C232" s="5">
        <v>157598</v>
      </c>
      <c r="D232" s="3">
        <v>67126816</v>
      </c>
      <c r="E232" s="3">
        <v>11811298683</v>
      </c>
      <c r="F232" s="5">
        <v>170694</v>
      </c>
      <c r="G232" s="3">
        <v>76165720</v>
      </c>
      <c r="H232" s="3">
        <v>12755128499</v>
      </c>
      <c r="I232" s="5">
        <v>159624</v>
      </c>
      <c r="J232" s="3">
        <v>69680819</v>
      </c>
      <c r="K232" s="3">
        <v>11743164803</v>
      </c>
      <c r="L232" s="5">
        <v>145276</v>
      </c>
      <c r="M232" s="3">
        <v>66518875</v>
      </c>
      <c r="N232" s="3">
        <v>11659572715</v>
      </c>
      <c r="O232" s="5">
        <v>633192</v>
      </c>
      <c r="P232" s="3">
        <v>279492230</v>
      </c>
      <c r="Q232" s="3">
        <v>47969164700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2610-0577-456A-8962-CE1C4DBC37F6}">
  <dimension ref="A1:M34"/>
  <sheetViews>
    <sheetView topLeftCell="A21" workbookViewId="0">
      <selection activeCell="D31" sqref="D31"/>
    </sheetView>
  </sheetViews>
  <sheetFormatPr defaultRowHeight="15"/>
  <cols>
    <col min="1" max="1" width="29.28515625" bestFit="1" customWidth="1"/>
    <col min="2" max="2" width="17.140625" bestFit="1" customWidth="1"/>
    <col min="3" max="3" width="30.42578125" bestFit="1" customWidth="1"/>
    <col min="4" max="4" width="21.140625" bestFit="1" customWidth="1"/>
    <col min="5" max="5" width="19" bestFit="1" customWidth="1"/>
    <col min="6" max="6" width="30.42578125" bestFit="1" customWidth="1"/>
    <col min="7" max="7" width="21.140625" bestFit="1" customWidth="1"/>
    <col min="8" max="8" width="19" bestFit="1" customWidth="1"/>
    <col min="9" max="9" width="30.42578125" bestFit="1" customWidth="1"/>
    <col min="10" max="10" width="21.140625" bestFit="1" customWidth="1"/>
    <col min="11" max="11" width="19" bestFit="1" customWidth="1"/>
    <col min="12" max="12" width="30.42578125" bestFit="1" customWidth="1"/>
    <col min="13" max="13" width="21.140625" bestFit="1" customWidth="1"/>
  </cols>
  <sheetData>
    <row r="1" spans="1:12">
      <c r="A1" s="6" t="s">
        <v>89</v>
      </c>
      <c r="B1" s="7" t="s">
        <v>0</v>
      </c>
      <c r="C1" s="8"/>
      <c r="D1" s="8"/>
      <c r="E1" s="8"/>
      <c r="F1" s="8"/>
      <c r="G1" s="8"/>
      <c r="H1" s="8"/>
      <c r="I1" s="8"/>
      <c r="J1" s="8"/>
      <c r="K1" s="8"/>
      <c r="L1" s="9"/>
    </row>
    <row r="2" spans="1:12">
      <c r="A2" s="10" t="s">
        <v>3</v>
      </c>
      <c r="B2" s="11">
        <v>2015</v>
      </c>
      <c r="C2" s="12">
        <v>2016</v>
      </c>
      <c r="D2" s="12">
        <v>2017</v>
      </c>
      <c r="E2" s="12">
        <v>2018</v>
      </c>
      <c r="F2" s="12">
        <v>2019</v>
      </c>
      <c r="G2" s="12">
        <v>2020</v>
      </c>
      <c r="H2" s="12">
        <v>2021</v>
      </c>
      <c r="I2" s="12">
        <v>2022</v>
      </c>
      <c r="J2" s="12">
        <v>2023</v>
      </c>
      <c r="K2" s="12">
        <v>2024</v>
      </c>
      <c r="L2" s="13" t="s">
        <v>70</v>
      </c>
    </row>
    <row r="3" spans="1:12">
      <c r="A3" s="14" t="s">
        <v>39</v>
      </c>
      <c r="B3" s="15">
        <v>11196</v>
      </c>
      <c r="C3" s="16">
        <v>5450</v>
      </c>
      <c r="D3" s="16">
        <v>7292</v>
      </c>
      <c r="E3" s="16">
        <v>6989</v>
      </c>
      <c r="F3" s="16">
        <v>5387</v>
      </c>
      <c r="G3" s="16">
        <v>4614</v>
      </c>
      <c r="H3" s="16">
        <v>9580</v>
      </c>
      <c r="I3" s="16">
        <v>6940</v>
      </c>
      <c r="J3" s="16">
        <v>6922</v>
      </c>
      <c r="K3" s="16">
        <v>6516</v>
      </c>
      <c r="L3" s="17">
        <v>70886</v>
      </c>
    </row>
    <row r="4" spans="1:12">
      <c r="A4" s="14" t="s">
        <v>27</v>
      </c>
      <c r="B4" s="15">
        <v>5024</v>
      </c>
      <c r="C4" s="16">
        <v>7021</v>
      </c>
      <c r="D4" s="16">
        <v>2724</v>
      </c>
      <c r="E4" s="16">
        <v>5729</v>
      </c>
      <c r="F4" s="16">
        <v>5909</v>
      </c>
      <c r="G4" s="16">
        <v>6880</v>
      </c>
      <c r="H4" s="16">
        <v>7984</v>
      </c>
      <c r="I4" s="16">
        <v>8876</v>
      </c>
      <c r="J4" s="16">
        <v>3047</v>
      </c>
      <c r="K4" s="16">
        <v>5950</v>
      </c>
      <c r="L4" s="17">
        <v>59144</v>
      </c>
    </row>
    <row r="5" spans="1:12">
      <c r="A5" s="14" t="s">
        <v>41</v>
      </c>
      <c r="B5" s="15">
        <v>5626</v>
      </c>
      <c r="C5" s="16">
        <v>7859</v>
      </c>
      <c r="D5" s="16">
        <v>5589</v>
      </c>
      <c r="E5" s="16">
        <v>2319</v>
      </c>
      <c r="F5" s="16">
        <v>10026</v>
      </c>
      <c r="G5" s="16">
        <v>8290</v>
      </c>
      <c r="H5" s="16">
        <v>6816</v>
      </c>
      <c r="I5" s="16">
        <v>3980</v>
      </c>
      <c r="J5" s="16">
        <v>5387</v>
      </c>
      <c r="K5" s="16">
        <v>9179</v>
      </c>
      <c r="L5" s="17">
        <v>65071</v>
      </c>
    </row>
    <row r="6" spans="1:12">
      <c r="A6" s="14" t="s">
        <v>22</v>
      </c>
      <c r="B6" s="15">
        <v>7513</v>
      </c>
      <c r="C6" s="16">
        <v>6800</v>
      </c>
      <c r="D6" s="16">
        <v>8321</v>
      </c>
      <c r="E6" s="16">
        <v>11044</v>
      </c>
      <c r="F6" s="16">
        <v>6403</v>
      </c>
      <c r="G6" s="16">
        <v>7263</v>
      </c>
      <c r="H6" s="16">
        <v>2925</v>
      </c>
      <c r="I6" s="16">
        <v>7192</v>
      </c>
      <c r="J6" s="16">
        <v>6457</v>
      </c>
      <c r="K6" s="16">
        <v>5610</v>
      </c>
      <c r="L6" s="17">
        <v>69528</v>
      </c>
    </row>
    <row r="7" spans="1:12">
      <c r="A7" s="14" t="s">
        <v>30</v>
      </c>
      <c r="B7" s="15">
        <v>5199</v>
      </c>
      <c r="C7" s="16">
        <v>4453</v>
      </c>
      <c r="D7" s="16">
        <v>4628</v>
      </c>
      <c r="E7" s="16">
        <v>5962</v>
      </c>
      <c r="F7" s="16">
        <v>10325</v>
      </c>
      <c r="G7" s="16">
        <v>6629</v>
      </c>
      <c r="H7" s="16">
        <v>5991</v>
      </c>
      <c r="I7" s="16">
        <v>6063</v>
      </c>
      <c r="J7" s="16">
        <v>7297</v>
      </c>
      <c r="K7" s="16">
        <v>7427</v>
      </c>
      <c r="L7" s="17">
        <v>63974</v>
      </c>
    </row>
    <row r="8" spans="1:12">
      <c r="A8" s="14" t="s">
        <v>52</v>
      </c>
      <c r="B8" s="15">
        <v>2998</v>
      </c>
      <c r="C8" s="16">
        <v>2475</v>
      </c>
      <c r="D8" s="16">
        <v>11753</v>
      </c>
      <c r="E8" s="16">
        <v>3711</v>
      </c>
      <c r="F8" s="16">
        <v>7067</v>
      </c>
      <c r="G8" s="16">
        <v>6125</v>
      </c>
      <c r="H8" s="16">
        <v>2891</v>
      </c>
      <c r="I8" s="16">
        <v>3472</v>
      </c>
      <c r="J8" s="16">
        <v>4715</v>
      </c>
      <c r="K8" s="16">
        <v>5860</v>
      </c>
      <c r="L8" s="17">
        <v>51067</v>
      </c>
    </row>
    <row r="9" spans="1:12">
      <c r="A9" s="14" t="s">
        <v>18</v>
      </c>
      <c r="B9" s="15">
        <v>11178</v>
      </c>
      <c r="C9" s="16">
        <v>7348</v>
      </c>
      <c r="D9" s="16">
        <v>4020</v>
      </c>
      <c r="E9" s="16">
        <v>2815</v>
      </c>
      <c r="F9" s="16">
        <v>7257</v>
      </c>
      <c r="G9" s="16">
        <v>5448</v>
      </c>
      <c r="H9" s="16">
        <v>3582</v>
      </c>
      <c r="I9" s="16">
        <v>6398</v>
      </c>
      <c r="J9" s="16">
        <v>6574</v>
      </c>
      <c r="K9" s="16">
        <v>6721</v>
      </c>
      <c r="L9" s="17">
        <v>61341</v>
      </c>
    </row>
    <row r="10" spans="1:12">
      <c r="A10" s="14" t="s">
        <v>42</v>
      </c>
      <c r="B10" s="15">
        <v>11756</v>
      </c>
      <c r="C10" s="16">
        <v>3956</v>
      </c>
      <c r="D10" s="16">
        <v>11375</v>
      </c>
      <c r="E10" s="16">
        <v>9817</v>
      </c>
      <c r="F10" s="16">
        <v>7716</v>
      </c>
      <c r="G10" s="16">
        <v>6828</v>
      </c>
      <c r="H10" s="16">
        <v>4143</v>
      </c>
      <c r="I10" s="16">
        <v>5673</v>
      </c>
      <c r="J10" s="16">
        <v>4092</v>
      </c>
      <c r="K10" s="16">
        <v>8002</v>
      </c>
      <c r="L10" s="17">
        <v>73358</v>
      </c>
    </row>
    <row r="11" spans="1:12">
      <c r="A11" s="14" t="s">
        <v>32</v>
      </c>
      <c r="B11" s="15">
        <v>8557</v>
      </c>
      <c r="C11" s="16">
        <v>5217</v>
      </c>
      <c r="D11" s="16">
        <v>10298</v>
      </c>
      <c r="E11" s="16">
        <v>6901</v>
      </c>
      <c r="F11" s="16">
        <v>5758</v>
      </c>
      <c r="G11" s="16">
        <v>4735</v>
      </c>
      <c r="H11" s="16">
        <v>5854</v>
      </c>
      <c r="I11" s="16">
        <v>5641</v>
      </c>
      <c r="J11" s="16">
        <v>5559</v>
      </c>
      <c r="K11" s="16">
        <v>6985</v>
      </c>
      <c r="L11" s="17">
        <v>65505</v>
      </c>
    </row>
    <row r="12" spans="1:12">
      <c r="A12" s="18" t="s">
        <v>36</v>
      </c>
      <c r="B12" s="19">
        <v>7110</v>
      </c>
      <c r="C12" s="20">
        <v>2670</v>
      </c>
      <c r="D12" s="20">
        <v>3755</v>
      </c>
      <c r="E12" s="20">
        <v>3455</v>
      </c>
      <c r="F12" s="20">
        <v>5241</v>
      </c>
      <c r="G12" s="20">
        <v>4845</v>
      </c>
      <c r="H12" s="20">
        <v>7133</v>
      </c>
      <c r="I12" s="20">
        <v>5933</v>
      </c>
      <c r="J12" s="20">
        <v>6986</v>
      </c>
      <c r="K12" s="20">
        <v>6190</v>
      </c>
      <c r="L12" s="21">
        <v>53318</v>
      </c>
    </row>
    <row r="13" spans="1:12">
      <c r="A13" s="22" t="s">
        <v>70</v>
      </c>
      <c r="B13" s="23">
        <v>76157</v>
      </c>
      <c r="C13" s="23">
        <v>53249</v>
      </c>
      <c r="D13" s="23">
        <v>69755</v>
      </c>
      <c r="E13" s="23">
        <v>58742</v>
      </c>
      <c r="F13" s="23">
        <v>71089</v>
      </c>
      <c r="G13" s="23">
        <v>61657</v>
      </c>
      <c r="H13" s="23">
        <v>56899</v>
      </c>
      <c r="I13" s="23">
        <v>60168</v>
      </c>
      <c r="J13" s="23">
        <v>57036</v>
      </c>
      <c r="K13" s="23">
        <v>68440</v>
      </c>
      <c r="L13" s="24">
        <v>633192</v>
      </c>
    </row>
    <row r="21" spans="1:13">
      <c r="A21" s="25" t="s">
        <v>68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7"/>
    </row>
    <row r="22" spans="1:13">
      <c r="A22" s="28"/>
      <c r="B22" s="29" t="s">
        <v>5</v>
      </c>
      <c r="C22" s="29" t="s">
        <v>84</v>
      </c>
      <c r="D22" s="30"/>
      <c r="E22" s="30"/>
      <c r="F22" s="30"/>
      <c r="G22" s="30"/>
      <c r="H22" s="30"/>
      <c r="I22" s="30"/>
      <c r="J22" s="30"/>
      <c r="K22" s="30"/>
      <c r="L22" s="30"/>
      <c r="M22" s="31"/>
    </row>
    <row r="23" spans="1:13">
      <c r="A23" s="28"/>
      <c r="B23" s="32" t="s">
        <v>33</v>
      </c>
      <c r="C23" s="33"/>
      <c r="D23" s="33"/>
      <c r="E23" s="34" t="s">
        <v>24</v>
      </c>
      <c r="F23" s="33"/>
      <c r="G23" s="33"/>
      <c r="H23" s="34" t="s">
        <v>28</v>
      </c>
      <c r="I23" s="33"/>
      <c r="J23" s="33"/>
      <c r="K23" s="34" t="s">
        <v>20</v>
      </c>
      <c r="L23" s="33"/>
      <c r="M23" s="35"/>
    </row>
    <row r="24" spans="1:13">
      <c r="A24" s="10" t="s">
        <v>3</v>
      </c>
      <c r="B24" s="11" t="s">
        <v>89</v>
      </c>
      <c r="C24" s="12" t="s">
        <v>90</v>
      </c>
      <c r="D24" s="12" t="s">
        <v>91</v>
      </c>
      <c r="E24" s="12" t="s">
        <v>89</v>
      </c>
      <c r="F24" s="12" t="s">
        <v>90</v>
      </c>
      <c r="G24" s="12" t="s">
        <v>91</v>
      </c>
      <c r="H24" s="12" t="s">
        <v>89</v>
      </c>
      <c r="I24" s="12" t="s">
        <v>90</v>
      </c>
      <c r="J24" s="12" t="s">
        <v>91</v>
      </c>
      <c r="K24" s="12" t="s">
        <v>89</v>
      </c>
      <c r="L24" s="12" t="s">
        <v>90</v>
      </c>
      <c r="M24" s="13" t="s">
        <v>91</v>
      </c>
    </row>
    <row r="25" spans="1:13">
      <c r="A25" s="14" t="s">
        <v>39</v>
      </c>
      <c r="B25" s="15">
        <v>14450</v>
      </c>
      <c r="C25" s="36">
        <v>6314326</v>
      </c>
      <c r="D25" s="36">
        <v>1093100679</v>
      </c>
      <c r="E25" s="16">
        <v>13930</v>
      </c>
      <c r="F25" s="36">
        <v>7818496</v>
      </c>
      <c r="G25" s="36">
        <v>1019614932</v>
      </c>
      <c r="H25" s="16">
        <v>21092</v>
      </c>
      <c r="I25" s="36">
        <v>9594047</v>
      </c>
      <c r="J25" s="36">
        <v>1471397115</v>
      </c>
      <c r="K25" s="16">
        <v>21414</v>
      </c>
      <c r="L25" s="36">
        <v>10633786</v>
      </c>
      <c r="M25" s="37">
        <v>1663455744</v>
      </c>
    </row>
    <row r="26" spans="1:13">
      <c r="A26" s="14" t="s">
        <v>27</v>
      </c>
      <c r="B26" s="15">
        <v>15288</v>
      </c>
      <c r="C26" s="36">
        <v>4392590</v>
      </c>
      <c r="D26" s="36">
        <v>1068087263</v>
      </c>
      <c r="E26" s="16">
        <v>16909</v>
      </c>
      <c r="F26" s="36">
        <v>6260649</v>
      </c>
      <c r="G26" s="36">
        <v>1194134706</v>
      </c>
      <c r="H26" s="16">
        <v>15644</v>
      </c>
      <c r="I26" s="36">
        <v>6883198</v>
      </c>
      <c r="J26" s="36">
        <v>1137298157</v>
      </c>
      <c r="K26" s="16">
        <v>11303</v>
      </c>
      <c r="L26" s="36">
        <v>6449685</v>
      </c>
      <c r="M26" s="37">
        <v>852518908</v>
      </c>
    </row>
    <row r="27" spans="1:13">
      <c r="A27" s="14" t="s">
        <v>41</v>
      </c>
      <c r="B27" s="15">
        <v>16500</v>
      </c>
      <c r="C27" s="36">
        <v>8859044</v>
      </c>
      <c r="D27" s="36">
        <v>1136664983</v>
      </c>
      <c r="E27" s="16">
        <v>16096</v>
      </c>
      <c r="F27" s="36">
        <v>6545105</v>
      </c>
      <c r="G27" s="36">
        <v>1150589909</v>
      </c>
      <c r="H27" s="16">
        <v>17519</v>
      </c>
      <c r="I27" s="36">
        <v>7631967</v>
      </c>
      <c r="J27" s="36">
        <v>1333805737</v>
      </c>
      <c r="K27" s="16">
        <v>14956</v>
      </c>
      <c r="L27" s="36">
        <v>7372371</v>
      </c>
      <c r="M27" s="37">
        <v>1218874459</v>
      </c>
    </row>
    <row r="28" spans="1:13">
      <c r="A28" s="14" t="s">
        <v>22</v>
      </c>
      <c r="B28" s="15">
        <v>15074</v>
      </c>
      <c r="C28" s="36">
        <v>5687644</v>
      </c>
      <c r="D28" s="36">
        <v>1230728989</v>
      </c>
      <c r="E28" s="16">
        <v>15087</v>
      </c>
      <c r="F28" s="36">
        <v>6854308</v>
      </c>
      <c r="G28" s="36">
        <v>1096730780</v>
      </c>
      <c r="H28" s="16">
        <v>20182</v>
      </c>
      <c r="I28" s="36">
        <v>9484093</v>
      </c>
      <c r="J28" s="36">
        <v>1503610394</v>
      </c>
      <c r="K28" s="16">
        <v>19185</v>
      </c>
      <c r="L28" s="36">
        <v>8376949</v>
      </c>
      <c r="M28" s="37">
        <v>1481402150</v>
      </c>
    </row>
    <row r="29" spans="1:13">
      <c r="A29" s="14" t="s">
        <v>30</v>
      </c>
      <c r="B29" s="15">
        <v>16754</v>
      </c>
      <c r="C29" s="36">
        <v>7044133</v>
      </c>
      <c r="D29" s="36">
        <v>1191744486</v>
      </c>
      <c r="E29" s="16">
        <v>18607</v>
      </c>
      <c r="F29" s="36">
        <v>8606538</v>
      </c>
      <c r="G29" s="36">
        <v>1358878628</v>
      </c>
      <c r="H29" s="16">
        <v>11102</v>
      </c>
      <c r="I29" s="36">
        <v>4189124</v>
      </c>
      <c r="J29" s="36">
        <v>820565425</v>
      </c>
      <c r="K29" s="16">
        <v>17511</v>
      </c>
      <c r="L29" s="36">
        <v>7447530</v>
      </c>
      <c r="M29" s="37">
        <v>1385677703</v>
      </c>
    </row>
    <row r="30" spans="1:13">
      <c r="A30" s="14" t="s">
        <v>52</v>
      </c>
      <c r="B30" s="15">
        <v>16712</v>
      </c>
      <c r="C30" s="36">
        <v>6502438</v>
      </c>
      <c r="D30" s="36">
        <v>1199611601</v>
      </c>
      <c r="E30" s="16">
        <v>7598</v>
      </c>
      <c r="F30" s="36">
        <v>3628400</v>
      </c>
      <c r="G30" s="36">
        <v>629929332</v>
      </c>
      <c r="H30" s="16">
        <v>18831</v>
      </c>
      <c r="I30" s="36">
        <v>7176753</v>
      </c>
      <c r="J30" s="36">
        <v>1320731221</v>
      </c>
      <c r="K30" s="16">
        <v>7926</v>
      </c>
      <c r="L30" s="36">
        <v>3361467</v>
      </c>
      <c r="M30" s="37">
        <v>677807719</v>
      </c>
    </row>
    <row r="31" spans="1:13">
      <c r="A31" s="14" t="s">
        <v>18</v>
      </c>
      <c r="B31" s="15">
        <v>14457</v>
      </c>
      <c r="C31" s="36">
        <v>6802146</v>
      </c>
      <c r="D31" s="36">
        <v>1128987215</v>
      </c>
      <c r="E31" s="16">
        <v>19000</v>
      </c>
      <c r="F31" s="36">
        <v>8406849</v>
      </c>
      <c r="G31" s="36">
        <v>1425239577</v>
      </c>
      <c r="H31" s="16">
        <v>12342</v>
      </c>
      <c r="I31" s="36">
        <v>5614287</v>
      </c>
      <c r="J31" s="36">
        <v>919727353</v>
      </c>
      <c r="K31" s="16">
        <v>15542</v>
      </c>
      <c r="L31" s="36">
        <v>6599812</v>
      </c>
      <c r="M31" s="37">
        <v>1179857136</v>
      </c>
    </row>
    <row r="32" spans="1:13">
      <c r="A32" s="14" t="s">
        <v>42</v>
      </c>
      <c r="B32" s="15">
        <v>17040</v>
      </c>
      <c r="C32" s="36">
        <v>6352829</v>
      </c>
      <c r="D32" s="36">
        <v>1304265545</v>
      </c>
      <c r="E32" s="16">
        <v>23731</v>
      </c>
      <c r="F32" s="36">
        <v>10279398</v>
      </c>
      <c r="G32" s="36">
        <v>1724585219</v>
      </c>
      <c r="H32" s="16">
        <v>16844</v>
      </c>
      <c r="I32" s="36">
        <v>5978231</v>
      </c>
      <c r="J32" s="36">
        <v>1278057955</v>
      </c>
      <c r="K32" s="16">
        <v>15743</v>
      </c>
      <c r="L32" s="36">
        <v>6394526</v>
      </c>
      <c r="M32" s="37">
        <v>1287610637</v>
      </c>
    </row>
    <row r="33" spans="1:13">
      <c r="A33" s="14" t="s">
        <v>32</v>
      </c>
      <c r="B33" s="15">
        <v>14347</v>
      </c>
      <c r="C33" s="36">
        <v>7013708</v>
      </c>
      <c r="D33" s="36">
        <v>1139263146</v>
      </c>
      <c r="E33" s="16">
        <v>23344</v>
      </c>
      <c r="F33" s="36">
        <v>10455463</v>
      </c>
      <c r="G33" s="36">
        <v>1692690963</v>
      </c>
      <c r="H33" s="16">
        <v>14478</v>
      </c>
      <c r="I33" s="36">
        <v>6978277</v>
      </c>
      <c r="J33" s="36">
        <v>1095130371</v>
      </c>
      <c r="K33" s="16">
        <v>13336</v>
      </c>
      <c r="L33" s="36">
        <v>5698398</v>
      </c>
      <c r="M33" s="37">
        <v>1069895817</v>
      </c>
    </row>
    <row r="34" spans="1:13">
      <c r="A34" s="38" t="s">
        <v>36</v>
      </c>
      <c r="B34" s="39">
        <v>16976</v>
      </c>
      <c r="C34" s="40">
        <v>8157958</v>
      </c>
      <c r="D34" s="40">
        <v>1251717960</v>
      </c>
      <c r="E34" s="39">
        <v>16392</v>
      </c>
      <c r="F34" s="40">
        <v>7310514</v>
      </c>
      <c r="G34" s="40">
        <v>1386568733</v>
      </c>
      <c r="H34" s="39">
        <v>11590</v>
      </c>
      <c r="I34" s="40">
        <v>6150842</v>
      </c>
      <c r="J34" s="40">
        <v>793160256</v>
      </c>
      <c r="K34" s="39">
        <v>8360</v>
      </c>
      <c r="L34" s="40">
        <v>4184351</v>
      </c>
      <c r="M34" s="41">
        <v>775953567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1C10A-68E6-4B93-A3C5-E661697E91EE}">
  <dimension ref="A1:J103"/>
  <sheetViews>
    <sheetView workbookViewId="0">
      <selection activeCell="G15" sqref="G15"/>
    </sheetView>
  </sheetViews>
  <sheetFormatPr defaultRowHeight="15"/>
  <cols>
    <col min="1" max="1" width="5.5703125" bestFit="1" customWidth="1"/>
    <col min="2" max="2" width="10.5703125" bestFit="1" customWidth="1"/>
    <col min="3" max="3" width="19" bestFit="1" customWidth="1"/>
    <col min="4" max="4" width="21.140625" bestFit="1" customWidth="1"/>
    <col min="5" max="5" width="19" bestFit="1" customWidth="1"/>
    <col min="6" max="6" width="21.140625" bestFit="1" customWidth="1"/>
    <col min="7" max="7" width="19" bestFit="1" customWidth="1"/>
    <col min="8" max="8" width="21.140625" bestFit="1" customWidth="1"/>
    <col min="9" max="9" width="19" bestFit="1" customWidth="1"/>
    <col min="10" max="10" width="21.140625" bestFit="1" customWidth="1"/>
  </cols>
  <sheetData>
    <row r="1" spans="1:10">
      <c r="A1" s="42"/>
      <c r="B1" s="42"/>
      <c r="C1" s="43" t="s">
        <v>5</v>
      </c>
      <c r="D1" s="43" t="s">
        <v>84</v>
      </c>
      <c r="E1" s="42"/>
      <c r="F1" s="42"/>
      <c r="G1" s="42"/>
      <c r="H1" s="42"/>
      <c r="I1" s="42"/>
      <c r="J1" s="42"/>
    </row>
    <row r="2" spans="1:10">
      <c r="A2" s="42"/>
      <c r="B2" s="42"/>
      <c r="C2" s="44" t="s">
        <v>33</v>
      </c>
      <c r="D2" s="45"/>
      <c r="E2" s="44" t="s">
        <v>24</v>
      </c>
      <c r="F2" s="45"/>
      <c r="G2" s="44" t="s">
        <v>28</v>
      </c>
      <c r="H2" s="45"/>
      <c r="I2" s="44" t="s">
        <v>20</v>
      </c>
      <c r="J2" s="45"/>
    </row>
    <row r="3" spans="1:10">
      <c r="A3" s="46" t="s">
        <v>0</v>
      </c>
      <c r="B3" s="46" t="s">
        <v>3</v>
      </c>
      <c r="C3" s="47" t="s">
        <v>89</v>
      </c>
      <c r="D3" s="47" t="s">
        <v>91</v>
      </c>
      <c r="E3" s="47" t="s">
        <v>89</v>
      </c>
      <c r="F3" s="47" t="s">
        <v>91</v>
      </c>
      <c r="G3" s="47" t="s">
        <v>89</v>
      </c>
      <c r="H3" s="47" t="s">
        <v>91</v>
      </c>
      <c r="I3" s="47" t="s">
        <v>89</v>
      </c>
      <c r="J3" s="47" t="s">
        <v>91</v>
      </c>
    </row>
    <row r="4" spans="1:10">
      <c r="A4" s="48">
        <v>2015</v>
      </c>
      <c r="B4" s="48" t="s">
        <v>18</v>
      </c>
      <c r="C4" s="49">
        <v>301</v>
      </c>
      <c r="D4" s="50">
        <v>19524929</v>
      </c>
      <c r="E4" s="49">
        <v>4394</v>
      </c>
      <c r="F4" s="50">
        <v>327138148</v>
      </c>
      <c r="G4" s="49">
        <v>4576</v>
      </c>
      <c r="H4" s="50">
        <v>325719459</v>
      </c>
      <c r="I4" s="49">
        <v>1907</v>
      </c>
      <c r="J4" s="50">
        <v>196929380</v>
      </c>
    </row>
    <row r="5" spans="1:10">
      <c r="A5" s="48"/>
      <c r="B5" s="48" t="s">
        <v>42</v>
      </c>
      <c r="C5" s="49">
        <v>3649</v>
      </c>
      <c r="D5" s="50">
        <v>236667556</v>
      </c>
      <c r="E5" s="49">
        <v>3274</v>
      </c>
      <c r="F5" s="50">
        <v>221601927</v>
      </c>
      <c r="G5" s="49">
        <v>1935</v>
      </c>
      <c r="H5" s="50">
        <v>187270991</v>
      </c>
      <c r="I5" s="49">
        <v>2898</v>
      </c>
      <c r="J5" s="50">
        <v>195018719</v>
      </c>
    </row>
    <row r="6" spans="1:10">
      <c r="A6" s="48"/>
      <c r="B6" s="48" t="s">
        <v>22</v>
      </c>
      <c r="C6" s="49">
        <v>1896</v>
      </c>
      <c r="D6" s="50">
        <v>204035598</v>
      </c>
      <c r="E6" s="49">
        <v>1802</v>
      </c>
      <c r="F6" s="50">
        <v>162113283</v>
      </c>
      <c r="G6" s="49">
        <v>2472</v>
      </c>
      <c r="H6" s="50">
        <v>245199700</v>
      </c>
      <c r="I6" s="49">
        <v>1343</v>
      </c>
      <c r="J6" s="50">
        <v>155411496</v>
      </c>
    </row>
    <row r="7" spans="1:10">
      <c r="A7" s="48"/>
      <c r="B7" s="48" t="s">
        <v>39</v>
      </c>
      <c r="C7" s="49">
        <v>3968</v>
      </c>
      <c r="D7" s="50">
        <v>247496606</v>
      </c>
      <c r="E7" s="49"/>
      <c r="F7" s="49"/>
      <c r="G7" s="49">
        <v>2621</v>
      </c>
      <c r="H7" s="50">
        <v>133704414</v>
      </c>
      <c r="I7" s="49">
        <v>4607</v>
      </c>
      <c r="J7" s="50">
        <v>339497341</v>
      </c>
    </row>
    <row r="8" spans="1:10">
      <c r="A8" s="48"/>
      <c r="B8" s="48" t="s">
        <v>32</v>
      </c>
      <c r="C8" s="49">
        <v>1159</v>
      </c>
      <c r="D8" s="50">
        <v>74462537</v>
      </c>
      <c r="E8" s="49">
        <v>2194</v>
      </c>
      <c r="F8" s="50">
        <v>164511021</v>
      </c>
      <c r="G8" s="49">
        <v>3825</v>
      </c>
      <c r="H8" s="50">
        <v>299059737</v>
      </c>
      <c r="I8" s="49">
        <v>1379</v>
      </c>
      <c r="J8" s="50">
        <v>94324213</v>
      </c>
    </row>
    <row r="9" spans="1:10">
      <c r="A9" s="48"/>
      <c r="B9" s="48" t="s">
        <v>36</v>
      </c>
      <c r="C9" s="49">
        <v>4273</v>
      </c>
      <c r="D9" s="50">
        <v>262217766</v>
      </c>
      <c r="E9" s="49">
        <v>941</v>
      </c>
      <c r="F9" s="50">
        <v>97330054</v>
      </c>
      <c r="G9" s="49"/>
      <c r="H9" s="49"/>
      <c r="I9" s="49">
        <v>1896</v>
      </c>
      <c r="J9" s="50">
        <v>169487433</v>
      </c>
    </row>
    <row r="10" spans="1:10">
      <c r="A10" s="48"/>
      <c r="B10" s="48" t="s">
        <v>41</v>
      </c>
      <c r="C10" s="49">
        <v>2304</v>
      </c>
      <c r="D10" s="50">
        <v>149171244</v>
      </c>
      <c r="E10" s="49">
        <v>785</v>
      </c>
      <c r="F10" s="50">
        <v>49462337</v>
      </c>
      <c r="G10" s="49">
        <v>922</v>
      </c>
      <c r="H10" s="50">
        <v>55186262</v>
      </c>
      <c r="I10" s="49">
        <v>1615</v>
      </c>
      <c r="J10" s="50">
        <v>176866020</v>
      </c>
    </row>
    <row r="11" spans="1:10">
      <c r="A11" s="48"/>
      <c r="B11" s="48" t="s">
        <v>27</v>
      </c>
      <c r="C11" s="49">
        <v>1920</v>
      </c>
      <c r="D11" s="50">
        <v>144765227</v>
      </c>
      <c r="E11" s="49"/>
      <c r="F11" s="49"/>
      <c r="G11" s="49">
        <v>1896</v>
      </c>
      <c r="H11" s="50">
        <v>150125949</v>
      </c>
      <c r="I11" s="49">
        <v>1208</v>
      </c>
      <c r="J11" s="50">
        <v>97013217</v>
      </c>
    </row>
    <row r="12" spans="1:10">
      <c r="A12" s="48"/>
      <c r="B12" s="48" t="s">
        <v>30</v>
      </c>
      <c r="C12" s="49">
        <v>1960</v>
      </c>
      <c r="D12" s="50">
        <v>135820502</v>
      </c>
      <c r="E12" s="49">
        <v>994</v>
      </c>
      <c r="F12" s="50">
        <v>68583962</v>
      </c>
      <c r="G12" s="49">
        <v>1718</v>
      </c>
      <c r="H12" s="50">
        <v>118384340</v>
      </c>
      <c r="I12" s="49">
        <v>527</v>
      </c>
      <c r="J12" s="50">
        <v>47503477</v>
      </c>
    </row>
    <row r="13" spans="1:10">
      <c r="A13" s="48"/>
      <c r="B13" s="48" t="s">
        <v>52</v>
      </c>
      <c r="C13" s="49">
        <v>861</v>
      </c>
      <c r="D13" s="50">
        <v>38003633</v>
      </c>
      <c r="E13" s="49"/>
      <c r="F13" s="49"/>
      <c r="G13" s="49">
        <v>1196</v>
      </c>
      <c r="H13" s="50">
        <v>103626230</v>
      </c>
      <c r="I13" s="49">
        <v>941</v>
      </c>
      <c r="J13" s="50">
        <v>59702435</v>
      </c>
    </row>
    <row r="14" spans="1:10">
      <c r="A14" s="48">
        <v>2016</v>
      </c>
      <c r="B14" s="48" t="s">
        <v>41</v>
      </c>
      <c r="C14" s="49">
        <v>100</v>
      </c>
      <c r="D14" s="50">
        <v>5632376</v>
      </c>
      <c r="E14" s="49">
        <v>1303</v>
      </c>
      <c r="F14" s="50">
        <v>117005367</v>
      </c>
      <c r="G14" s="49">
        <v>4054</v>
      </c>
      <c r="H14" s="50">
        <v>349132532</v>
      </c>
      <c r="I14" s="49">
        <v>2402</v>
      </c>
      <c r="J14" s="50">
        <v>177971700</v>
      </c>
    </row>
    <row r="15" spans="1:10">
      <c r="A15" s="48"/>
      <c r="B15" s="48" t="s">
        <v>18</v>
      </c>
      <c r="C15" s="49">
        <v>3900</v>
      </c>
      <c r="D15" s="50">
        <v>256004904</v>
      </c>
      <c r="E15" s="49">
        <v>1448</v>
      </c>
      <c r="F15" s="50">
        <v>119063402</v>
      </c>
      <c r="G15" s="49">
        <v>396</v>
      </c>
      <c r="H15" s="50">
        <v>45086243</v>
      </c>
      <c r="I15" s="49">
        <v>1604</v>
      </c>
      <c r="J15" s="50">
        <v>104488836</v>
      </c>
    </row>
    <row r="16" spans="1:10">
      <c r="A16" s="48"/>
      <c r="B16" s="48" t="s">
        <v>27</v>
      </c>
      <c r="C16" s="49">
        <v>1937</v>
      </c>
      <c r="D16" s="50">
        <v>116702722</v>
      </c>
      <c r="E16" s="49">
        <v>2208</v>
      </c>
      <c r="F16" s="50">
        <v>151179001</v>
      </c>
      <c r="G16" s="49">
        <v>2483</v>
      </c>
      <c r="H16" s="50">
        <v>157807566</v>
      </c>
      <c r="I16" s="49">
        <v>393</v>
      </c>
      <c r="J16" s="50">
        <v>45621503</v>
      </c>
    </row>
    <row r="17" spans="1:10">
      <c r="A17" s="48"/>
      <c r="B17" s="48" t="s">
        <v>32</v>
      </c>
      <c r="C17" s="49">
        <v>1151</v>
      </c>
      <c r="D17" s="50">
        <v>96736930</v>
      </c>
      <c r="E17" s="49">
        <v>1638</v>
      </c>
      <c r="F17" s="50">
        <v>98692707</v>
      </c>
      <c r="G17" s="49">
        <v>1803</v>
      </c>
      <c r="H17" s="50">
        <v>182178541</v>
      </c>
      <c r="I17" s="49">
        <v>625</v>
      </c>
      <c r="J17" s="50">
        <v>63648107</v>
      </c>
    </row>
    <row r="18" spans="1:10">
      <c r="A18" s="48"/>
      <c r="B18" s="48" t="s">
        <v>22</v>
      </c>
      <c r="C18" s="49">
        <v>2801</v>
      </c>
      <c r="D18" s="50">
        <v>193364096</v>
      </c>
      <c r="E18" s="49">
        <v>666</v>
      </c>
      <c r="F18" s="50">
        <v>28435736</v>
      </c>
      <c r="G18" s="49">
        <v>1603</v>
      </c>
      <c r="H18" s="50">
        <v>103709733</v>
      </c>
      <c r="I18" s="49">
        <v>1730</v>
      </c>
      <c r="J18" s="50">
        <v>110078537</v>
      </c>
    </row>
    <row r="19" spans="1:10">
      <c r="A19" s="48"/>
      <c r="B19" s="48" t="s">
        <v>39</v>
      </c>
      <c r="C19" s="49">
        <v>883</v>
      </c>
      <c r="D19" s="50">
        <v>98029117</v>
      </c>
      <c r="E19" s="49">
        <v>3052</v>
      </c>
      <c r="F19" s="50">
        <v>241628406</v>
      </c>
      <c r="G19" s="49">
        <v>1515</v>
      </c>
      <c r="H19" s="50">
        <v>59805017</v>
      </c>
      <c r="I19" s="49"/>
      <c r="J19" s="49"/>
    </row>
    <row r="20" spans="1:10">
      <c r="A20" s="48"/>
      <c r="B20" s="48" t="s">
        <v>30</v>
      </c>
      <c r="C20" s="49">
        <v>595</v>
      </c>
      <c r="D20" s="50">
        <v>21456258</v>
      </c>
      <c r="E20" s="49">
        <v>3347</v>
      </c>
      <c r="F20" s="50">
        <v>268624103</v>
      </c>
      <c r="G20" s="49">
        <v>511</v>
      </c>
      <c r="H20" s="50">
        <v>23181076</v>
      </c>
      <c r="I20" s="49"/>
      <c r="J20" s="49"/>
    </row>
    <row r="21" spans="1:10">
      <c r="A21" s="48"/>
      <c r="B21" s="48" t="s">
        <v>42</v>
      </c>
      <c r="C21" s="49">
        <v>529</v>
      </c>
      <c r="D21" s="50">
        <v>19874753</v>
      </c>
      <c r="E21" s="49">
        <v>1639</v>
      </c>
      <c r="F21" s="50">
        <v>115807545</v>
      </c>
      <c r="G21" s="49">
        <v>1788</v>
      </c>
      <c r="H21" s="50">
        <v>137317319</v>
      </c>
      <c r="I21" s="49"/>
      <c r="J21" s="49"/>
    </row>
    <row r="22" spans="1:10">
      <c r="A22" s="48"/>
      <c r="B22" s="48" t="s">
        <v>36</v>
      </c>
      <c r="C22" s="49">
        <v>540</v>
      </c>
      <c r="D22" s="50">
        <v>47693795</v>
      </c>
      <c r="E22" s="49">
        <v>290</v>
      </c>
      <c r="F22" s="50">
        <v>33879945</v>
      </c>
      <c r="G22" s="49">
        <v>632</v>
      </c>
      <c r="H22" s="50">
        <v>27432553</v>
      </c>
      <c r="I22" s="49">
        <v>1208</v>
      </c>
      <c r="J22" s="50">
        <v>125643039</v>
      </c>
    </row>
    <row r="23" spans="1:10">
      <c r="A23" s="48"/>
      <c r="B23" s="48" t="s">
        <v>52</v>
      </c>
      <c r="C23" s="49">
        <v>1186</v>
      </c>
      <c r="D23" s="50">
        <v>116184186</v>
      </c>
      <c r="E23" s="49"/>
      <c r="F23" s="49"/>
      <c r="G23" s="49">
        <v>548</v>
      </c>
      <c r="H23" s="50">
        <v>37853019</v>
      </c>
      <c r="I23" s="49">
        <v>741</v>
      </c>
      <c r="J23" s="50">
        <v>64711033</v>
      </c>
    </row>
    <row r="24" spans="1:10">
      <c r="A24" s="48">
        <v>2017</v>
      </c>
      <c r="B24" s="48" t="s">
        <v>52</v>
      </c>
      <c r="C24" s="49">
        <v>4613</v>
      </c>
      <c r="D24" s="50">
        <v>321249217</v>
      </c>
      <c r="E24" s="49">
        <v>1936</v>
      </c>
      <c r="F24" s="50">
        <v>117066013</v>
      </c>
      <c r="G24" s="49">
        <v>4511</v>
      </c>
      <c r="H24" s="50">
        <v>368407927</v>
      </c>
      <c r="I24" s="49">
        <v>693</v>
      </c>
      <c r="J24" s="50">
        <v>78823582</v>
      </c>
    </row>
    <row r="25" spans="1:10">
      <c r="A25" s="48"/>
      <c r="B25" s="48" t="s">
        <v>42</v>
      </c>
      <c r="C25" s="49"/>
      <c r="D25" s="49"/>
      <c r="E25" s="49">
        <v>5471</v>
      </c>
      <c r="F25" s="50">
        <v>382079521</v>
      </c>
      <c r="G25" s="49">
        <v>2967</v>
      </c>
      <c r="H25" s="50">
        <v>202941033</v>
      </c>
      <c r="I25" s="49">
        <v>2937</v>
      </c>
      <c r="J25" s="50">
        <v>258936732</v>
      </c>
    </row>
    <row r="26" spans="1:10">
      <c r="A26" s="48"/>
      <c r="B26" s="48" t="s">
        <v>22</v>
      </c>
      <c r="C26" s="49">
        <v>1559</v>
      </c>
      <c r="D26" s="50">
        <v>168493666</v>
      </c>
      <c r="E26" s="49">
        <v>1656</v>
      </c>
      <c r="F26" s="50">
        <v>128579992</v>
      </c>
      <c r="G26" s="49">
        <v>4302</v>
      </c>
      <c r="H26" s="50">
        <v>392798177</v>
      </c>
      <c r="I26" s="49">
        <v>804</v>
      </c>
      <c r="J26" s="50">
        <v>76811516</v>
      </c>
    </row>
    <row r="27" spans="1:10">
      <c r="A27" s="48"/>
      <c r="B27" s="48" t="s">
        <v>32</v>
      </c>
      <c r="C27" s="49">
        <v>1718</v>
      </c>
      <c r="D27" s="50">
        <v>101201772</v>
      </c>
      <c r="E27" s="49">
        <v>3818</v>
      </c>
      <c r="F27" s="50">
        <v>237462426</v>
      </c>
      <c r="G27" s="49">
        <v>2593</v>
      </c>
      <c r="H27" s="50">
        <v>138491704</v>
      </c>
      <c r="I27" s="49">
        <v>2169</v>
      </c>
      <c r="J27" s="50">
        <v>196056816</v>
      </c>
    </row>
    <row r="28" spans="1:10">
      <c r="A28" s="48"/>
      <c r="B28" s="48" t="s">
        <v>39</v>
      </c>
      <c r="C28" s="49"/>
      <c r="D28" s="49"/>
      <c r="E28" s="49">
        <v>1421</v>
      </c>
      <c r="F28" s="50">
        <v>94914298</v>
      </c>
      <c r="G28" s="49">
        <v>2952</v>
      </c>
      <c r="H28" s="50">
        <v>162316746</v>
      </c>
      <c r="I28" s="49">
        <v>2919</v>
      </c>
      <c r="J28" s="50">
        <v>197101103</v>
      </c>
    </row>
    <row r="29" spans="1:10">
      <c r="A29" s="48"/>
      <c r="B29" s="48" t="s">
        <v>30</v>
      </c>
      <c r="C29" s="49">
        <v>1972</v>
      </c>
      <c r="D29" s="50">
        <v>193351903</v>
      </c>
      <c r="E29" s="49"/>
      <c r="F29" s="49"/>
      <c r="G29" s="49"/>
      <c r="H29" s="49"/>
      <c r="I29" s="49">
        <v>2656</v>
      </c>
      <c r="J29" s="50">
        <v>232196464</v>
      </c>
    </row>
    <row r="30" spans="1:10">
      <c r="A30" s="48"/>
      <c r="B30" s="48" t="s">
        <v>41</v>
      </c>
      <c r="C30" s="49">
        <v>2604</v>
      </c>
      <c r="D30" s="50">
        <v>142765359</v>
      </c>
      <c r="E30" s="49">
        <v>956</v>
      </c>
      <c r="F30" s="50">
        <v>77397347</v>
      </c>
      <c r="G30" s="49">
        <v>1247</v>
      </c>
      <c r="H30" s="50">
        <v>109149753</v>
      </c>
      <c r="I30" s="49">
        <v>782</v>
      </c>
      <c r="J30" s="50">
        <v>91991268</v>
      </c>
    </row>
    <row r="31" spans="1:10">
      <c r="A31" s="48"/>
      <c r="B31" s="48" t="s">
        <v>36</v>
      </c>
      <c r="C31" s="49">
        <v>889</v>
      </c>
      <c r="D31" s="50">
        <v>90101486</v>
      </c>
      <c r="E31" s="49">
        <v>1268</v>
      </c>
      <c r="F31" s="50">
        <v>85947394</v>
      </c>
      <c r="G31" s="49">
        <v>718</v>
      </c>
      <c r="H31" s="50">
        <v>64608685</v>
      </c>
      <c r="I31" s="49">
        <v>880</v>
      </c>
      <c r="J31" s="50">
        <v>102916741</v>
      </c>
    </row>
    <row r="32" spans="1:10">
      <c r="A32" s="48"/>
      <c r="B32" s="48" t="s">
        <v>18</v>
      </c>
      <c r="C32" s="49">
        <v>1175</v>
      </c>
      <c r="D32" s="50">
        <v>78684768</v>
      </c>
      <c r="E32" s="49">
        <v>652</v>
      </c>
      <c r="F32" s="50">
        <v>53862054</v>
      </c>
      <c r="G32" s="49">
        <v>809</v>
      </c>
      <c r="H32" s="50">
        <v>40114425</v>
      </c>
      <c r="I32" s="49">
        <v>1384</v>
      </c>
      <c r="J32" s="50">
        <v>142230914</v>
      </c>
    </row>
    <row r="33" spans="1:10">
      <c r="A33" s="48"/>
      <c r="B33" s="48" t="s">
        <v>27</v>
      </c>
      <c r="C33" s="49">
        <v>674</v>
      </c>
      <c r="D33" s="50">
        <v>33295703</v>
      </c>
      <c r="E33" s="49">
        <v>573</v>
      </c>
      <c r="F33" s="50">
        <v>67395276</v>
      </c>
      <c r="G33" s="49">
        <v>578</v>
      </c>
      <c r="H33" s="50">
        <v>62563407</v>
      </c>
      <c r="I33" s="49">
        <v>899</v>
      </c>
      <c r="J33" s="50">
        <v>98735312</v>
      </c>
    </row>
    <row r="34" spans="1:10">
      <c r="A34" s="48">
        <v>2018</v>
      </c>
      <c r="B34" s="48" t="s">
        <v>42</v>
      </c>
      <c r="C34" s="49">
        <v>2357</v>
      </c>
      <c r="D34" s="50">
        <v>206776809</v>
      </c>
      <c r="E34" s="49">
        <v>2836</v>
      </c>
      <c r="F34" s="50">
        <v>256177587</v>
      </c>
      <c r="G34" s="49">
        <v>1332</v>
      </c>
      <c r="H34" s="50">
        <v>63245927</v>
      </c>
      <c r="I34" s="49">
        <v>3292</v>
      </c>
      <c r="J34" s="50">
        <v>251713468</v>
      </c>
    </row>
    <row r="35" spans="1:10">
      <c r="A35" s="48"/>
      <c r="B35" s="48" t="s">
        <v>22</v>
      </c>
      <c r="C35" s="49">
        <v>457</v>
      </c>
      <c r="D35" s="50">
        <v>17579391</v>
      </c>
      <c r="E35" s="49">
        <v>3094</v>
      </c>
      <c r="F35" s="50">
        <v>172133003</v>
      </c>
      <c r="G35" s="49">
        <v>4062</v>
      </c>
      <c r="H35" s="50">
        <v>186119557</v>
      </c>
      <c r="I35" s="49">
        <v>3431</v>
      </c>
      <c r="J35" s="50">
        <v>269317456</v>
      </c>
    </row>
    <row r="36" spans="1:10">
      <c r="A36" s="48"/>
      <c r="B36" s="48" t="s">
        <v>32</v>
      </c>
      <c r="C36" s="49">
        <v>1403</v>
      </c>
      <c r="D36" s="50">
        <v>118869426</v>
      </c>
      <c r="E36" s="49">
        <v>2092</v>
      </c>
      <c r="F36" s="50">
        <v>132424834</v>
      </c>
      <c r="G36" s="49"/>
      <c r="H36" s="49"/>
      <c r="I36" s="49">
        <v>3406</v>
      </c>
      <c r="J36" s="50">
        <v>304566621</v>
      </c>
    </row>
    <row r="37" spans="1:10">
      <c r="A37" s="48"/>
      <c r="B37" s="48" t="s">
        <v>39</v>
      </c>
      <c r="C37" s="49">
        <v>496</v>
      </c>
      <c r="D37" s="50">
        <v>52607118</v>
      </c>
      <c r="E37" s="49">
        <v>1333</v>
      </c>
      <c r="F37" s="50">
        <v>98852889</v>
      </c>
      <c r="G37" s="49">
        <v>3095</v>
      </c>
      <c r="H37" s="50">
        <v>248863352</v>
      </c>
      <c r="I37" s="49">
        <v>2065</v>
      </c>
      <c r="J37" s="50">
        <v>145530976</v>
      </c>
    </row>
    <row r="38" spans="1:10">
      <c r="A38" s="48"/>
      <c r="B38" s="48" t="s">
        <v>30</v>
      </c>
      <c r="C38" s="49">
        <v>1743</v>
      </c>
      <c r="D38" s="50">
        <v>119066541</v>
      </c>
      <c r="E38" s="49">
        <v>3362</v>
      </c>
      <c r="F38" s="50">
        <v>276679363</v>
      </c>
      <c r="G38" s="49">
        <v>296</v>
      </c>
      <c r="H38" s="50">
        <v>12574675</v>
      </c>
      <c r="I38" s="49">
        <v>561</v>
      </c>
      <c r="J38" s="50">
        <v>33691995</v>
      </c>
    </row>
    <row r="39" spans="1:10">
      <c r="A39" s="48"/>
      <c r="B39" s="48" t="s">
        <v>27</v>
      </c>
      <c r="C39" s="49">
        <v>1290</v>
      </c>
      <c r="D39" s="50">
        <v>104800781</v>
      </c>
      <c r="E39" s="49">
        <v>1546</v>
      </c>
      <c r="F39" s="50">
        <v>94315965</v>
      </c>
      <c r="G39" s="49">
        <v>1880</v>
      </c>
      <c r="H39" s="50">
        <v>123907034</v>
      </c>
      <c r="I39" s="49">
        <v>1013</v>
      </c>
      <c r="J39" s="50">
        <v>80370441</v>
      </c>
    </row>
    <row r="40" spans="1:10">
      <c r="A40" s="48"/>
      <c r="B40" s="48" t="s">
        <v>36</v>
      </c>
      <c r="C40" s="49">
        <v>530</v>
      </c>
      <c r="D40" s="50">
        <v>26773995</v>
      </c>
      <c r="E40" s="49">
        <v>2285</v>
      </c>
      <c r="F40" s="50">
        <v>228183436</v>
      </c>
      <c r="G40" s="49">
        <v>397</v>
      </c>
      <c r="H40" s="50">
        <v>35552795</v>
      </c>
      <c r="I40" s="49">
        <v>243</v>
      </c>
      <c r="J40" s="50">
        <v>18260247</v>
      </c>
    </row>
    <row r="41" spans="1:10">
      <c r="A41" s="48"/>
      <c r="B41" s="48" t="s">
        <v>52</v>
      </c>
      <c r="C41" s="49">
        <v>1787</v>
      </c>
      <c r="D41" s="50">
        <v>98440722</v>
      </c>
      <c r="E41" s="49"/>
      <c r="F41" s="49"/>
      <c r="G41" s="49">
        <v>855</v>
      </c>
      <c r="H41" s="50">
        <v>50945649</v>
      </c>
      <c r="I41" s="49">
        <v>1069</v>
      </c>
      <c r="J41" s="50">
        <v>126168706</v>
      </c>
    </row>
    <row r="42" spans="1:10">
      <c r="A42" s="48"/>
      <c r="B42" s="48" t="s">
        <v>18</v>
      </c>
      <c r="C42" s="49">
        <v>951</v>
      </c>
      <c r="D42" s="50">
        <v>93181766</v>
      </c>
      <c r="E42" s="49"/>
      <c r="F42" s="49"/>
      <c r="G42" s="49">
        <v>966</v>
      </c>
      <c r="H42" s="50">
        <v>46800540</v>
      </c>
      <c r="I42" s="49">
        <v>898</v>
      </c>
      <c r="J42" s="50">
        <v>45219913</v>
      </c>
    </row>
    <row r="43" spans="1:10">
      <c r="A43" s="48"/>
      <c r="B43" s="48" t="s">
        <v>41</v>
      </c>
      <c r="C43" s="49">
        <v>807</v>
      </c>
      <c r="D43" s="50">
        <v>63500337</v>
      </c>
      <c r="E43" s="49"/>
      <c r="F43" s="49"/>
      <c r="G43" s="49">
        <v>453</v>
      </c>
      <c r="H43" s="50">
        <v>28899220</v>
      </c>
      <c r="I43" s="49">
        <v>1059</v>
      </c>
      <c r="J43" s="50">
        <v>79206731</v>
      </c>
    </row>
    <row r="44" spans="1:10">
      <c r="A44" s="48">
        <v>2019</v>
      </c>
      <c r="B44" s="48" t="s">
        <v>41</v>
      </c>
      <c r="C44" s="49">
        <v>639</v>
      </c>
      <c r="D44" s="50">
        <v>57648684</v>
      </c>
      <c r="E44" s="49">
        <v>3566</v>
      </c>
      <c r="F44" s="50">
        <v>236942141</v>
      </c>
      <c r="G44" s="49">
        <v>3186</v>
      </c>
      <c r="H44" s="50">
        <v>225393987</v>
      </c>
      <c r="I44" s="49">
        <v>2635</v>
      </c>
      <c r="J44" s="50">
        <v>149826235</v>
      </c>
    </row>
    <row r="45" spans="1:10">
      <c r="A45" s="48"/>
      <c r="B45" s="48" t="s">
        <v>30</v>
      </c>
      <c r="C45" s="49">
        <v>1805</v>
      </c>
      <c r="D45" s="50">
        <v>88601023</v>
      </c>
      <c r="E45" s="49">
        <v>2701</v>
      </c>
      <c r="F45" s="50">
        <v>152254423</v>
      </c>
      <c r="G45" s="49">
        <v>791</v>
      </c>
      <c r="H45" s="50">
        <v>86820219</v>
      </c>
      <c r="I45" s="49">
        <v>5028</v>
      </c>
      <c r="J45" s="50">
        <v>318577181</v>
      </c>
    </row>
    <row r="46" spans="1:10">
      <c r="A46" s="48"/>
      <c r="B46" s="48" t="s">
        <v>42</v>
      </c>
      <c r="C46" s="49">
        <v>1631</v>
      </c>
      <c r="D46" s="50">
        <v>98921303</v>
      </c>
      <c r="E46" s="49">
        <v>2270</v>
      </c>
      <c r="F46" s="50">
        <v>98347508</v>
      </c>
      <c r="G46" s="49">
        <v>1204</v>
      </c>
      <c r="H46" s="50">
        <v>104342157</v>
      </c>
      <c r="I46" s="49">
        <v>2611</v>
      </c>
      <c r="J46" s="50">
        <v>263087418</v>
      </c>
    </row>
    <row r="47" spans="1:10">
      <c r="A47" s="48"/>
      <c r="B47" s="48" t="s">
        <v>22</v>
      </c>
      <c r="C47" s="49">
        <v>1489</v>
      </c>
      <c r="D47" s="50">
        <v>95820022</v>
      </c>
      <c r="E47" s="49">
        <v>797</v>
      </c>
      <c r="F47" s="50">
        <v>61355112</v>
      </c>
      <c r="G47" s="49">
        <v>1404</v>
      </c>
      <c r="H47" s="50">
        <v>104503858</v>
      </c>
      <c r="I47" s="49">
        <v>2713</v>
      </c>
      <c r="J47" s="50">
        <v>240380880</v>
      </c>
    </row>
    <row r="48" spans="1:10">
      <c r="A48" s="48"/>
      <c r="B48" s="48" t="s">
        <v>18</v>
      </c>
      <c r="C48" s="49">
        <v>1482</v>
      </c>
      <c r="D48" s="50">
        <v>112224860</v>
      </c>
      <c r="E48" s="49">
        <v>3044</v>
      </c>
      <c r="F48" s="50">
        <v>192503332</v>
      </c>
      <c r="G48" s="49">
        <v>505</v>
      </c>
      <c r="H48" s="50">
        <v>47772907</v>
      </c>
      <c r="I48" s="49">
        <v>2226</v>
      </c>
      <c r="J48" s="50">
        <v>138527886</v>
      </c>
    </row>
    <row r="49" spans="1:10">
      <c r="A49" s="48"/>
      <c r="B49" s="48" t="s">
        <v>36</v>
      </c>
      <c r="C49" s="49">
        <v>1443</v>
      </c>
      <c r="D49" s="50">
        <v>149014044</v>
      </c>
      <c r="E49" s="49">
        <v>861</v>
      </c>
      <c r="F49" s="50">
        <v>96663768</v>
      </c>
      <c r="G49" s="49">
        <v>2007</v>
      </c>
      <c r="H49" s="50">
        <v>136668983</v>
      </c>
      <c r="I49" s="49">
        <v>930</v>
      </c>
      <c r="J49" s="50">
        <v>96285571</v>
      </c>
    </row>
    <row r="50" spans="1:10">
      <c r="A50" s="48"/>
      <c r="B50" s="48" t="s">
        <v>52</v>
      </c>
      <c r="C50" s="49">
        <v>2838</v>
      </c>
      <c r="D50" s="50">
        <v>208747130</v>
      </c>
      <c r="E50" s="49">
        <v>1170</v>
      </c>
      <c r="F50" s="50">
        <v>69988078</v>
      </c>
      <c r="G50" s="49">
        <v>3059</v>
      </c>
      <c r="H50" s="50">
        <v>196142988</v>
      </c>
      <c r="I50" s="49"/>
      <c r="J50" s="49"/>
    </row>
    <row r="51" spans="1:10">
      <c r="A51" s="48"/>
      <c r="B51" s="48" t="s">
        <v>39</v>
      </c>
      <c r="C51" s="49">
        <v>1354</v>
      </c>
      <c r="D51" s="50">
        <v>91580995</v>
      </c>
      <c r="E51" s="49">
        <v>1467</v>
      </c>
      <c r="F51" s="50">
        <v>84974385</v>
      </c>
      <c r="G51" s="49">
        <v>941</v>
      </c>
      <c r="H51" s="50">
        <v>98426780</v>
      </c>
      <c r="I51" s="49">
        <v>1625</v>
      </c>
      <c r="J51" s="50">
        <v>173098447</v>
      </c>
    </row>
    <row r="52" spans="1:10">
      <c r="A52" s="48"/>
      <c r="B52" s="48" t="s">
        <v>27</v>
      </c>
      <c r="C52" s="49">
        <v>2434</v>
      </c>
      <c r="D52" s="50">
        <v>135046807</v>
      </c>
      <c r="E52" s="49">
        <v>730</v>
      </c>
      <c r="F52" s="50">
        <v>83184111</v>
      </c>
      <c r="G52" s="49">
        <v>1116</v>
      </c>
      <c r="H52" s="50">
        <v>62110367</v>
      </c>
      <c r="I52" s="49">
        <v>1629</v>
      </c>
      <c r="J52" s="50">
        <v>113635410</v>
      </c>
    </row>
    <row r="53" spans="1:10">
      <c r="A53" s="48"/>
      <c r="B53" s="48" t="s">
        <v>32</v>
      </c>
      <c r="C53" s="49">
        <v>951</v>
      </c>
      <c r="D53" s="50">
        <v>103152125</v>
      </c>
      <c r="E53" s="49">
        <v>4057</v>
      </c>
      <c r="F53" s="50">
        <v>218726625</v>
      </c>
      <c r="G53" s="49">
        <v>750</v>
      </c>
      <c r="H53" s="50">
        <v>68195619</v>
      </c>
      <c r="I53" s="49"/>
      <c r="J53" s="49"/>
    </row>
    <row r="54" spans="1:10">
      <c r="A54" s="48">
        <v>2020</v>
      </c>
      <c r="B54" s="48" t="s">
        <v>41</v>
      </c>
      <c r="C54" s="49">
        <v>3750</v>
      </c>
      <c r="D54" s="50">
        <v>258519259</v>
      </c>
      <c r="E54" s="49">
        <v>1894</v>
      </c>
      <c r="F54" s="50">
        <v>171503584</v>
      </c>
      <c r="G54" s="49">
        <v>386</v>
      </c>
      <c r="H54" s="50">
        <v>16518860</v>
      </c>
      <c r="I54" s="49">
        <v>2260</v>
      </c>
      <c r="J54" s="50">
        <v>160468613</v>
      </c>
    </row>
    <row r="55" spans="1:10">
      <c r="A55" s="48"/>
      <c r="B55" s="48" t="s">
        <v>22</v>
      </c>
      <c r="C55" s="49">
        <v>1374</v>
      </c>
      <c r="D55" s="50">
        <v>108503795</v>
      </c>
      <c r="E55" s="49">
        <v>1973</v>
      </c>
      <c r="F55" s="50">
        <v>187042343</v>
      </c>
      <c r="G55" s="49">
        <v>2260</v>
      </c>
      <c r="H55" s="50">
        <v>184122702</v>
      </c>
      <c r="I55" s="49">
        <v>1656</v>
      </c>
      <c r="J55" s="50">
        <v>108793055</v>
      </c>
    </row>
    <row r="56" spans="1:10">
      <c r="A56" s="48"/>
      <c r="B56" s="48" t="s">
        <v>42</v>
      </c>
      <c r="C56" s="49">
        <v>2900</v>
      </c>
      <c r="D56" s="50">
        <v>276203538</v>
      </c>
      <c r="E56" s="49">
        <v>355</v>
      </c>
      <c r="F56" s="50">
        <v>37339126</v>
      </c>
      <c r="G56" s="49">
        <v>1825</v>
      </c>
      <c r="H56" s="50">
        <v>91329508</v>
      </c>
      <c r="I56" s="49">
        <v>1748</v>
      </c>
      <c r="J56" s="50">
        <v>141783949</v>
      </c>
    </row>
    <row r="57" spans="1:10">
      <c r="A57" s="48"/>
      <c r="B57" s="48" t="s">
        <v>30</v>
      </c>
      <c r="C57" s="49">
        <v>3003</v>
      </c>
      <c r="D57" s="50">
        <v>214512731</v>
      </c>
      <c r="E57" s="49">
        <v>842</v>
      </c>
      <c r="F57" s="50">
        <v>65964144</v>
      </c>
      <c r="G57" s="49">
        <v>511</v>
      </c>
      <c r="H57" s="50">
        <v>29006844</v>
      </c>
      <c r="I57" s="49">
        <v>2273</v>
      </c>
      <c r="J57" s="50">
        <v>202731525</v>
      </c>
    </row>
    <row r="58" spans="1:10">
      <c r="A58" s="48"/>
      <c r="B58" s="48" t="s">
        <v>27</v>
      </c>
      <c r="C58" s="49">
        <v>2173</v>
      </c>
      <c r="D58" s="50">
        <v>191696888</v>
      </c>
      <c r="E58" s="49">
        <v>2607</v>
      </c>
      <c r="F58" s="50">
        <v>123731823</v>
      </c>
      <c r="G58" s="49">
        <v>654</v>
      </c>
      <c r="H58" s="50">
        <v>76996757</v>
      </c>
      <c r="I58" s="49">
        <v>1446</v>
      </c>
      <c r="J58" s="50">
        <v>113229319</v>
      </c>
    </row>
    <row r="59" spans="1:10">
      <c r="A59" s="48"/>
      <c r="B59" s="48" t="s">
        <v>18</v>
      </c>
      <c r="C59" s="49">
        <v>1589</v>
      </c>
      <c r="D59" s="50">
        <v>133680613</v>
      </c>
      <c r="E59" s="49">
        <v>1860</v>
      </c>
      <c r="F59" s="50">
        <v>146121997</v>
      </c>
      <c r="G59" s="49">
        <v>377</v>
      </c>
      <c r="H59" s="50">
        <v>35081325</v>
      </c>
      <c r="I59" s="49">
        <v>1622</v>
      </c>
      <c r="J59" s="50">
        <v>121948520</v>
      </c>
    </row>
    <row r="60" spans="1:10">
      <c r="A60" s="48"/>
      <c r="B60" s="48" t="s">
        <v>52</v>
      </c>
      <c r="C60" s="49">
        <v>376</v>
      </c>
      <c r="D60" s="50">
        <v>26348646</v>
      </c>
      <c r="E60" s="49">
        <v>531</v>
      </c>
      <c r="F60" s="50">
        <v>38672489</v>
      </c>
      <c r="G60" s="49">
        <v>4391</v>
      </c>
      <c r="H60" s="50">
        <v>275838354</v>
      </c>
      <c r="I60" s="49">
        <v>827</v>
      </c>
      <c r="J60" s="50">
        <v>82620684</v>
      </c>
    </row>
    <row r="61" spans="1:10">
      <c r="A61" s="48"/>
      <c r="B61" s="48" t="s">
        <v>32</v>
      </c>
      <c r="C61" s="49">
        <v>1538</v>
      </c>
      <c r="D61" s="50">
        <v>152430504</v>
      </c>
      <c r="E61" s="49">
        <v>521</v>
      </c>
      <c r="F61" s="50">
        <v>41585650</v>
      </c>
      <c r="G61" s="49">
        <v>2307</v>
      </c>
      <c r="H61" s="50">
        <v>147027963</v>
      </c>
      <c r="I61" s="49">
        <v>369</v>
      </c>
      <c r="J61" s="50">
        <v>15375814</v>
      </c>
    </row>
    <row r="62" spans="1:10">
      <c r="A62" s="48"/>
      <c r="B62" s="48" t="s">
        <v>39</v>
      </c>
      <c r="C62" s="49">
        <v>1415</v>
      </c>
      <c r="D62" s="50">
        <v>109831963</v>
      </c>
      <c r="E62" s="49">
        <v>1040</v>
      </c>
      <c r="F62" s="50">
        <v>66562273</v>
      </c>
      <c r="G62" s="49">
        <v>1311</v>
      </c>
      <c r="H62" s="50">
        <v>96760987</v>
      </c>
      <c r="I62" s="49">
        <v>848</v>
      </c>
      <c r="J62" s="50">
        <v>52725914</v>
      </c>
    </row>
    <row r="63" spans="1:10">
      <c r="A63" s="48"/>
      <c r="B63" s="48" t="s">
        <v>36</v>
      </c>
      <c r="C63" s="49">
        <v>1076</v>
      </c>
      <c r="D63" s="50">
        <v>54546834</v>
      </c>
      <c r="E63" s="49">
        <v>2883</v>
      </c>
      <c r="F63" s="50">
        <v>183395121</v>
      </c>
      <c r="G63" s="49">
        <v>407</v>
      </c>
      <c r="H63" s="50">
        <v>28918330</v>
      </c>
      <c r="I63" s="49">
        <v>479</v>
      </c>
      <c r="J63" s="50">
        <v>47026379</v>
      </c>
    </row>
    <row r="64" spans="1:10">
      <c r="A64" s="48">
        <v>2021</v>
      </c>
      <c r="B64" s="48" t="s">
        <v>39</v>
      </c>
      <c r="C64" s="49">
        <v>496</v>
      </c>
      <c r="D64" s="50">
        <v>58771428</v>
      </c>
      <c r="E64" s="49">
        <v>899</v>
      </c>
      <c r="F64" s="50">
        <v>74662972</v>
      </c>
      <c r="G64" s="49">
        <v>3838</v>
      </c>
      <c r="H64" s="50">
        <v>296450959</v>
      </c>
      <c r="I64" s="49">
        <v>4347</v>
      </c>
      <c r="J64" s="50">
        <v>347834220</v>
      </c>
    </row>
    <row r="65" spans="1:10">
      <c r="A65" s="48"/>
      <c r="B65" s="48" t="s">
        <v>27</v>
      </c>
      <c r="C65" s="49">
        <v>1127</v>
      </c>
      <c r="D65" s="50">
        <v>82474664</v>
      </c>
      <c r="E65" s="49">
        <v>4471</v>
      </c>
      <c r="F65" s="50">
        <v>353366470</v>
      </c>
      <c r="G65" s="49">
        <v>1225</v>
      </c>
      <c r="H65" s="50">
        <v>125052055</v>
      </c>
      <c r="I65" s="49">
        <v>1161</v>
      </c>
      <c r="J65" s="50">
        <v>101805671</v>
      </c>
    </row>
    <row r="66" spans="1:10">
      <c r="A66" s="48"/>
      <c r="B66" s="48" t="s">
        <v>41</v>
      </c>
      <c r="C66" s="49">
        <v>4609</v>
      </c>
      <c r="D66" s="50">
        <v>314669905</v>
      </c>
      <c r="E66" s="49">
        <v>749</v>
      </c>
      <c r="F66" s="50">
        <v>79664149</v>
      </c>
      <c r="G66" s="49">
        <v>1257</v>
      </c>
      <c r="H66" s="50">
        <v>122269894</v>
      </c>
      <c r="I66" s="49">
        <v>201</v>
      </c>
      <c r="J66" s="50">
        <v>12010473</v>
      </c>
    </row>
    <row r="67" spans="1:10">
      <c r="A67" s="48"/>
      <c r="B67" s="48" t="s">
        <v>36</v>
      </c>
      <c r="C67" s="49">
        <v>3241</v>
      </c>
      <c r="D67" s="50">
        <v>184281266</v>
      </c>
      <c r="E67" s="49">
        <v>1918</v>
      </c>
      <c r="F67" s="50">
        <v>153505943</v>
      </c>
      <c r="G67" s="49">
        <v>689</v>
      </c>
      <c r="H67" s="50">
        <v>43434168</v>
      </c>
      <c r="I67" s="49">
        <v>1285</v>
      </c>
      <c r="J67" s="50">
        <v>122849740</v>
      </c>
    </row>
    <row r="68" spans="1:10">
      <c r="A68" s="48"/>
      <c r="B68" s="48" t="s">
        <v>30</v>
      </c>
      <c r="C68" s="49">
        <v>1386</v>
      </c>
      <c r="D68" s="50">
        <v>56835451</v>
      </c>
      <c r="E68" s="49">
        <v>1324</v>
      </c>
      <c r="F68" s="50">
        <v>122223324</v>
      </c>
      <c r="G68" s="49">
        <v>2071</v>
      </c>
      <c r="H68" s="50">
        <v>207058609</v>
      </c>
      <c r="I68" s="49">
        <v>1210</v>
      </c>
      <c r="J68" s="50">
        <v>102937014</v>
      </c>
    </row>
    <row r="69" spans="1:10">
      <c r="A69" s="48"/>
      <c r="B69" s="48" t="s">
        <v>32</v>
      </c>
      <c r="C69" s="49">
        <v>2912</v>
      </c>
      <c r="D69" s="50">
        <v>210590070</v>
      </c>
      <c r="E69" s="49">
        <v>1525</v>
      </c>
      <c r="F69" s="50">
        <v>133360417</v>
      </c>
      <c r="G69" s="49"/>
      <c r="H69" s="49"/>
      <c r="I69" s="49">
        <v>1417</v>
      </c>
      <c r="J69" s="50">
        <v>113752271</v>
      </c>
    </row>
    <row r="70" spans="1:10">
      <c r="A70" s="48"/>
      <c r="B70" s="48" t="s">
        <v>18</v>
      </c>
      <c r="C70" s="49">
        <v>755</v>
      </c>
      <c r="D70" s="50">
        <v>59348028</v>
      </c>
      <c r="E70" s="49">
        <v>710</v>
      </c>
      <c r="F70" s="50">
        <v>81777356</v>
      </c>
      <c r="G70" s="49">
        <v>1364</v>
      </c>
      <c r="H70" s="50">
        <v>160118324</v>
      </c>
      <c r="I70" s="49">
        <v>753</v>
      </c>
      <c r="J70" s="50">
        <v>56596870</v>
      </c>
    </row>
    <row r="71" spans="1:10">
      <c r="A71" s="48"/>
      <c r="B71" s="48" t="s">
        <v>42</v>
      </c>
      <c r="C71" s="49">
        <v>2462</v>
      </c>
      <c r="D71" s="50">
        <v>177452294</v>
      </c>
      <c r="E71" s="49">
        <v>562</v>
      </c>
      <c r="F71" s="50">
        <v>26688255</v>
      </c>
      <c r="G71" s="49"/>
      <c r="H71" s="49"/>
      <c r="I71" s="49">
        <v>1119</v>
      </c>
      <c r="J71" s="50">
        <v>88366285</v>
      </c>
    </row>
    <row r="72" spans="1:10">
      <c r="A72" s="48"/>
      <c r="B72" s="48" t="s">
        <v>52</v>
      </c>
      <c r="C72" s="49">
        <v>466</v>
      </c>
      <c r="D72" s="50">
        <v>26325314</v>
      </c>
      <c r="E72" s="49">
        <v>1080</v>
      </c>
      <c r="F72" s="50">
        <v>119126642</v>
      </c>
      <c r="G72" s="49">
        <v>644</v>
      </c>
      <c r="H72" s="50">
        <v>46227445</v>
      </c>
      <c r="I72" s="49">
        <v>701</v>
      </c>
      <c r="J72" s="50">
        <v>63306967</v>
      </c>
    </row>
    <row r="73" spans="1:10">
      <c r="A73" s="48"/>
      <c r="B73" s="48" t="s">
        <v>22</v>
      </c>
      <c r="C73" s="49"/>
      <c r="D73" s="49"/>
      <c r="E73" s="49"/>
      <c r="F73" s="49"/>
      <c r="G73" s="49"/>
      <c r="H73" s="49"/>
      <c r="I73" s="49">
        <v>2925</v>
      </c>
      <c r="J73" s="50">
        <v>206546545</v>
      </c>
    </row>
    <row r="74" spans="1:10">
      <c r="A74" s="48">
        <v>2022</v>
      </c>
      <c r="B74" s="48" t="s">
        <v>27</v>
      </c>
      <c r="C74" s="49">
        <v>2940</v>
      </c>
      <c r="D74" s="50">
        <v>221850236</v>
      </c>
      <c r="E74" s="49">
        <v>2158</v>
      </c>
      <c r="F74" s="50">
        <v>156874712</v>
      </c>
      <c r="G74" s="49">
        <v>2545</v>
      </c>
      <c r="H74" s="50">
        <v>160076952</v>
      </c>
      <c r="I74" s="49">
        <v>1233</v>
      </c>
      <c r="J74" s="50">
        <v>83600418</v>
      </c>
    </row>
    <row r="75" spans="1:10">
      <c r="A75" s="48"/>
      <c r="B75" s="48" t="s">
        <v>22</v>
      </c>
      <c r="C75" s="49">
        <v>1759</v>
      </c>
      <c r="D75" s="50">
        <v>126170247</v>
      </c>
      <c r="E75" s="49">
        <v>2432</v>
      </c>
      <c r="F75" s="50">
        <v>176105375</v>
      </c>
      <c r="G75" s="49">
        <v>2205</v>
      </c>
      <c r="H75" s="50">
        <v>174270773</v>
      </c>
      <c r="I75" s="49">
        <v>796</v>
      </c>
      <c r="J75" s="50">
        <v>84274633</v>
      </c>
    </row>
    <row r="76" spans="1:10">
      <c r="A76" s="48"/>
      <c r="B76" s="48" t="s">
        <v>39</v>
      </c>
      <c r="C76" s="49">
        <v>1689</v>
      </c>
      <c r="D76" s="50">
        <v>110550006</v>
      </c>
      <c r="E76" s="49">
        <v>1661</v>
      </c>
      <c r="F76" s="50">
        <v>126529577</v>
      </c>
      <c r="G76" s="49">
        <v>2445</v>
      </c>
      <c r="H76" s="50">
        <v>206411278</v>
      </c>
      <c r="I76" s="49">
        <v>1145</v>
      </c>
      <c r="J76" s="50">
        <v>66357538</v>
      </c>
    </row>
    <row r="77" spans="1:10">
      <c r="A77" s="48"/>
      <c r="B77" s="48" t="s">
        <v>18</v>
      </c>
      <c r="C77" s="49">
        <v>1175</v>
      </c>
      <c r="D77" s="50">
        <v>121437865</v>
      </c>
      <c r="E77" s="49">
        <v>2364</v>
      </c>
      <c r="F77" s="50">
        <v>143129992</v>
      </c>
      <c r="G77" s="49">
        <v>407</v>
      </c>
      <c r="H77" s="50">
        <v>42712131</v>
      </c>
      <c r="I77" s="49">
        <v>2452</v>
      </c>
      <c r="J77" s="50">
        <v>202011280</v>
      </c>
    </row>
    <row r="78" spans="1:10">
      <c r="A78" s="48"/>
      <c r="B78" s="48" t="s">
        <v>30</v>
      </c>
      <c r="C78" s="49">
        <v>1304</v>
      </c>
      <c r="D78" s="50">
        <v>120439094</v>
      </c>
      <c r="E78" s="49">
        <v>247</v>
      </c>
      <c r="F78" s="50">
        <v>10561286</v>
      </c>
      <c r="G78" s="49">
        <v>1342</v>
      </c>
      <c r="H78" s="50">
        <v>72956171</v>
      </c>
      <c r="I78" s="49">
        <v>3170</v>
      </c>
      <c r="J78" s="50">
        <v>258996552</v>
      </c>
    </row>
    <row r="79" spans="1:10">
      <c r="A79" s="48"/>
      <c r="B79" s="48" t="s">
        <v>36</v>
      </c>
      <c r="C79" s="49">
        <v>1947</v>
      </c>
      <c r="D79" s="50">
        <v>158566389</v>
      </c>
      <c r="E79" s="49">
        <v>1606</v>
      </c>
      <c r="F79" s="50">
        <v>95378489</v>
      </c>
      <c r="G79" s="49">
        <v>2380</v>
      </c>
      <c r="H79" s="50">
        <v>199042337</v>
      </c>
      <c r="I79" s="49"/>
      <c r="J79" s="49"/>
    </row>
    <row r="80" spans="1:10">
      <c r="A80" s="48"/>
      <c r="B80" s="48" t="s">
        <v>32</v>
      </c>
      <c r="C80" s="49">
        <v>2259</v>
      </c>
      <c r="D80" s="50">
        <v>166774733</v>
      </c>
      <c r="E80" s="49">
        <v>2520</v>
      </c>
      <c r="F80" s="50">
        <v>213762640</v>
      </c>
      <c r="G80" s="49">
        <v>386</v>
      </c>
      <c r="H80" s="50">
        <v>32348203</v>
      </c>
      <c r="I80" s="49">
        <v>476</v>
      </c>
      <c r="J80" s="50">
        <v>30874346</v>
      </c>
    </row>
    <row r="81" spans="1:10">
      <c r="A81" s="48"/>
      <c r="B81" s="48" t="s">
        <v>42</v>
      </c>
      <c r="C81" s="49">
        <v>712</v>
      </c>
      <c r="D81" s="50">
        <v>37238063</v>
      </c>
      <c r="E81" s="49">
        <v>2244</v>
      </c>
      <c r="F81" s="50">
        <v>144725431</v>
      </c>
      <c r="G81" s="49">
        <v>2717</v>
      </c>
      <c r="H81" s="50">
        <v>249955719</v>
      </c>
      <c r="I81" s="49"/>
      <c r="J81" s="49"/>
    </row>
    <row r="82" spans="1:10">
      <c r="A82" s="48"/>
      <c r="B82" s="48" t="s">
        <v>52</v>
      </c>
      <c r="C82" s="49">
        <v>244</v>
      </c>
      <c r="D82" s="50">
        <v>27936825</v>
      </c>
      <c r="E82" s="49">
        <v>517</v>
      </c>
      <c r="F82" s="50">
        <v>51867488</v>
      </c>
      <c r="G82" s="49">
        <v>1765</v>
      </c>
      <c r="H82" s="50">
        <v>129696340</v>
      </c>
      <c r="I82" s="49">
        <v>946</v>
      </c>
      <c r="J82" s="50">
        <v>75945051</v>
      </c>
    </row>
    <row r="83" spans="1:10">
      <c r="A83" s="48"/>
      <c r="B83" s="48" t="s">
        <v>41</v>
      </c>
      <c r="C83" s="49">
        <v>951</v>
      </c>
      <c r="D83" s="50">
        <v>82736329</v>
      </c>
      <c r="E83" s="49">
        <v>909</v>
      </c>
      <c r="F83" s="50">
        <v>50464074</v>
      </c>
      <c r="G83" s="49">
        <v>2120</v>
      </c>
      <c r="H83" s="50">
        <v>140850414</v>
      </c>
      <c r="I83" s="49"/>
      <c r="J83" s="49"/>
    </row>
    <row r="84" spans="1:10">
      <c r="A84" s="48">
        <v>2023</v>
      </c>
      <c r="B84" s="48" t="s">
        <v>36</v>
      </c>
      <c r="C84" s="49">
        <v>1112</v>
      </c>
      <c r="D84" s="50">
        <v>90365218</v>
      </c>
      <c r="E84" s="49">
        <v>2742</v>
      </c>
      <c r="F84" s="50">
        <v>280293703</v>
      </c>
      <c r="G84" s="49">
        <v>3132</v>
      </c>
      <c r="H84" s="50">
        <v>179841598</v>
      </c>
      <c r="I84" s="49"/>
      <c r="J84" s="49"/>
    </row>
    <row r="85" spans="1:10">
      <c r="A85" s="48"/>
      <c r="B85" s="48" t="s">
        <v>39</v>
      </c>
      <c r="C85" s="49">
        <v>3030</v>
      </c>
      <c r="D85" s="50">
        <v>260343493</v>
      </c>
      <c r="E85" s="49">
        <v>527</v>
      </c>
      <c r="F85" s="50">
        <v>28453288</v>
      </c>
      <c r="G85" s="49">
        <v>1261</v>
      </c>
      <c r="H85" s="50">
        <v>94050503</v>
      </c>
      <c r="I85" s="49">
        <v>2104</v>
      </c>
      <c r="J85" s="50">
        <v>166952053</v>
      </c>
    </row>
    <row r="86" spans="1:10">
      <c r="A86" s="48"/>
      <c r="B86" s="48" t="s">
        <v>32</v>
      </c>
      <c r="C86" s="49">
        <v>847</v>
      </c>
      <c r="D86" s="50">
        <v>88447317</v>
      </c>
      <c r="E86" s="49">
        <v>2305</v>
      </c>
      <c r="F86" s="50">
        <v>214975802</v>
      </c>
      <c r="G86" s="49">
        <v>1512</v>
      </c>
      <c r="H86" s="50">
        <v>139936522</v>
      </c>
      <c r="I86" s="49">
        <v>895</v>
      </c>
      <c r="J86" s="50">
        <v>66317228</v>
      </c>
    </row>
    <row r="87" spans="1:10">
      <c r="A87" s="48"/>
      <c r="B87" s="48" t="s">
        <v>30</v>
      </c>
      <c r="C87" s="49">
        <v>2299</v>
      </c>
      <c r="D87" s="50">
        <v>160556670</v>
      </c>
      <c r="E87" s="49">
        <v>2196</v>
      </c>
      <c r="F87" s="50">
        <v>135853816</v>
      </c>
      <c r="G87" s="49">
        <v>2272</v>
      </c>
      <c r="H87" s="50">
        <v>135484537</v>
      </c>
      <c r="I87" s="49">
        <v>530</v>
      </c>
      <c r="J87" s="50">
        <v>57504826</v>
      </c>
    </row>
    <row r="88" spans="1:10">
      <c r="A88" s="48"/>
      <c r="B88" s="48" t="s">
        <v>18</v>
      </c>
      <c r="C88" s="49">
        <v>1846</v>
      </c>
      <c r="D88" s="50">
        <v>135856796</v>
      </c>
      <c r="E88" s="49">
        <v>2462</v>
      </c>
      <c r="F88" s="50">
        <v>187969462</v>
      </c>
      <c r="G88" s="49">
        <v>902</v>
      </c>
      <c r="H88" s="50">
        <v>78700589</v>
      </c>
      <c r="I88" s="49">
        <v>1364</v>
      </c>
      <c r="J88" s="50">
        <v>82037946</v>
      </c>
    </row>
    <row r="89" spans="1:10">
      <c r="A89" s="48"/>
      <c r="B89" s="48" t="s">
        <v>22</v>
      </c>
      <c r="C89" s="49">
        <v>2941</v>
      </c>
      <c r="D89" s="50">
        <v>245135024</v>
      </c>
      <c r="E89" s="49">
        <v>1196</v>
      </c>
      <c r="F89" s="50">
        <v>67772415</v>
      </c>
      <c r="G89" s="49">
        <v>1399</v>
      </c>
      <c r="H89" s="50">
        <v>92690857</v>
      </c>
      <c r="I89" s="49">
        <v>921</v>
      </c>
      <c r="J89" s="50">
        <v>46083735</v>
      </c>
    </row>
    <row r="90" spans="1:10">
      <c r="A90" s="48"/>
      <c r="B90" s="48" t="s">
        <v>41</v>
      </c>
      <c r="C90" s="49"/>
      <c r="D90" s="49"/>
      <c r="E90" s="49">
        <v>2133</v>
      </c>
      <c r="F90" s="50">
        <v>134003592</v>
      </c>
      <c r="G90" s="49">
        <v>1073</v>
      </c>
      <c r="H90" s="50">
        <v>88927353</v>
      </c>
      <c r="I90" s="49">
        <v>2181</v>
      </c>
      <c r="J90" s="50">
        <v>206066839</v>
      </c>
    </row>
    <row r="91" spans="1:10">
      <c r="A91" s="48"/>
      <c r="B91" s="48" t="s">
        <v>42</v>
      </c>
      <c r="C91" s="49">
        <v>482</v>
      </c>
      <c r="D91" s="50">
        <v>28410547</v>
      </c>
      <c r="E91" s="49">
        <v>2040</v>
      </c>
      <c r="F91" s="50">
        <v>215888441</v>
      </c>
      <c r="G91" s="49">
        <v>432</v>
      </c>
      <c r="H91" s="50">
        <v>42102420</v>
      </c>
      <c r="I91" s="49">
        <v>1138</v>
      </c>
      <c r="J91" s="50">
        <v>88704066</v>
      </c>
    </row>
    <row r="92" spans="1:10">
      <c r="A92" s="48"/>
      <c r="B92" s="48" t="s">
        <v>52</v>
      </c>
      <c r="C92" s="49">
        <v>2134</v>
      </c>
      <c r="D92" s="50">
        <v>175615996</v>
      </c>
      <c r="E92" s="49">
        <v>928</v>
      </c>
      <c r="F92" s="50">
        <v>86364299</v>
      </c>
      <c r="G92" s="49">
        <v>756</v>
      </c>
      <c r="H92" s="50">
        <v>46575690</v>
      </c>
      <c r="I92" s="49">
        <v>897</v>
      </c>
      <c r="J92" s="50">
        <v>43802306</v>
      </c>
    </row>
    <row r="93" spans="1:10">
      <c r="A93" s="48"/>
      <c r="B93" s="48" t="s">
        <v>27</v>
      </c>
      <c r="C93" s="49">
        <v>319</v>
      </c>
      <c r="D93" s="50">
        <v>20408494</v>
      </c>
      <c r="E93" s="49">
        <v>1093</v>
      </c>
      <c r="F93" s="50">
        <v>68072579</v>
      </c>
      <c r="G93" s="49">
        <v>929</v>
      </c>
      <c r="H93" s="50">
        <v>69464360</v>
      </c>
      <c r="I93" s="49">
        <v>706</v>
      </c>
      <c r="J93" s="50">
        <v>36276306</v>
      </c>
    </row>
    <row r="94" spans="1:10">
      <c r="A94" s="48">
        <v>2024</v>
      </c>
      <c r="B94" s="48" t="s">
        <v>41</v>
      </c>
      <c r="C94" s="49">
        <v>736</v>
      </c>
      <c r="D94" s="50">
        <v>62021490</v>
      </c>
      <c r="E94" s="49">
        <v>3801</v>
      </c>
      <c r="F94" s="50">
        <v>234147318</v>
      </c>
      <c r="G94" s="49">
        <v>2821</v>
      </c>
      <c r="H94" s="50">
        <v>197477462</v>
      </c>
      <c r="I94" s="49">
        <v>1821</v>
      </c>
      <c r="J94" s="50">
        <v>164466580</v>
      </c>
    </row>
    <row r="95" spans="1:10">
      <c r="A95" s="48"/>
      <c r="B95" s="48" t="s">
        <v>42</v>
      </c>
      <c r="C95" s="49">
        <v>2318</v>
      </c>
      <c r="D95" s="50">
        <v>222720682</v>
      </c>
      <c r="E95" s="49">
        <v>3040</v>
      </c>
      <c r="F95" s="50">
        <v>225929878</v>
      </c>
      <c r="G95" s="49">
        <v>2644</v>
      </c>
      <c r="H95" s="50">
        <v>199552881</v>
      </c>
      <c r="I95" s="49"/>
      <c r="J95" s="49"/>
    </row>
    <row r="96" spans="1:10">
      <c r="A96" s="48"/>
      <c r="B96" s="48" t="s">
        <v>30</v>
      </c>
      <c r="C96" s="49">
        <v>687</v>
      </c>
      <c r="D96" s="50">
        <v>81104313</v>
      </c>
      <c r="E96" s="49">
        <v>3594</v>
      </c>
      <c r="F96" s="50">
        <v>258134207</v>
      </c>
      <c r="G96" s="49">
        <v>1590</v>
      </c>
      <c r="H96" s="50">
        <v>135098954</v>
      </c>
      <c r="I96" s="49">
        <v>1556</v>
      </c>
      <c r="J96" s="50">
        <v>131538669</v>
      </c>
    </row>
    <row r="97" spans="1:10">
      <c r="A97" s="48"/>
      <c r="B97" s="48" t="s">
        <v>32</v>
      </c>
      <c r="C97" s="49">
        <v>409</v>
      </c>
      <c r="D97" s="50">
        <v>26597732</v>
      </c>
      <c r="E97" s="49">
        <v>2674</v>
      </c>
      <c r="F97" s="50">
        <v>237188841</v>
      </c>
      <c r="G97" s="49">
        <v>1302</v>
      </c>
      <c r="H97" s="50">
        <v>87892082</v>
      </c>
      <c r="I97" s="49">
        <v>2600</v>
      </c>
      <c r="J97" s="50">
        <v>184980401</v>
      </c>
    </row>
    <row r="98" spans="1:10">
      <c r="A98" s="48"/>
      <c r="B98" s="48" t="s">
        <v>39</v>
      </c>
      <c r="C98" s="49">
        <v>1119</v>
      </c>
      <c r="D98" s="50">
        <v>63889953</v>
      </c>
      <c r="E98" s="49">
        <v>2530</v>
      </c>
      <c r="F98" s="50">
        <v>203036844</v>
      </c>
      <c r="G98" s="49">
        <v>1113</v>
      </c>
      <c r="H98" s="50">
        <v>74607079</v>
      </c>
      <c r="I98" s="49">
        <v>1754</v>
      </c>
      <c r="J98" s="50">
        <v>174358152</v>
      </c>
    </row>
    <row r="99" spans="1:10">
      <c r="A99" s="48"/>
      <c r="B99" s="48" t="s">
        <v>36</v>
      </c>
      <c r="C99" s="49">
        <v>1925</v>
      </c>
      <c r="D99" s="50">
        <v>188157167</v>
      </c>
      <c r="E99" s="49">
        <v>1598</v>
      </c>
      <c r="F99" s="50">
        <v>131990880</v>
      </c>
      <c r="G99" s="49">
        <v>1228</v>
      </c>
      <c r="H99" s="50">
        <v>77660807</v>
      </c>
      <c r="I99" s="49">
        <v>1439</v>
      </c>
      <c r="J99" s="50">
        <v>93484417</v>
      </c>
    </row>
    <row r="100" spans="1:10">
      <c r="A100" s="48"/>
      <c r="B100" s="48" t="s">
        <v>18</v>
      </c>
      <c r="C100" s="49">
        <v>1283</v>
      </c>
      <c r="D100" s="50">
        <v>119042686</v>
      </c>
      <c r="E100" s="49">
        <v>2066</v>
      </c>
      <c r="F100" s="50">
        <v>173673834</v>
      </c>
      <c r="G100" s="49">
        <v>2040</v>
      </c>
      <c r="H100" s="50">
        <v>97621410</v>
      </c>
      <c r="I100" s="49">
        <v>1332</v>
      </c>
      <c r="J100" s="50">
        <v>89865591</v>
      </c>
    </row>
    <row r="101" spans="1:10">
      <c r="A101" s="48"/>
      <c r="B101" s="48" t="s">
        <v>52</v>
      </c>
      <c r="C101" s="49">
        <v>2207</v>
      </c>
      <c r="D101" s="50">
        <v>160759932</v>
      </c>
      <c r="E101" s="49">
        <v>1436</v>
      </c>
      <c r="F101" s="50">
        <v>146844323</v>
      </c>
      <c r="G101" s="49">
        <v>1106</v>
      </c>
      <c r="H101" s="50">
        <v>65417579</v>
      </c>
      <c r="I101" s="49">
        <v>1111</v>
      </c>
      <c r="J101" s="50">
        <v>82726955</v>
      </c>
    </row>
    <row r="102" spans="1:10">
      <c r="A102" s="48"/>
      <c r="B102" s="48" t="s">
        <v>22</v>
      </c>
      <c r="C102" s="49">
        <v>798</v>
      </c>
      <c r="D102" s="50">
        <v>71627150</v>
      </c>
      <c r="E102" s="49">
        <v>1471</v>
      </c>
      <c r="F102" s="50">
        <v>113193521</v>
      </c>
      <c r="G102" s="49">
        <v>475</v>
      </c>
      <c r="H102" s="50">
        <v>20195037</v>
      </c>
      <c r="I102" s="49">
        <v>2866</v>
      </c>
      <c r="J102" s="50">
        <v>183704297</v>
      </c>
    </row>
    <row r="103" spans="1:10">
      <c r="A103" s="48"/>
      <c r="B103" s="48" t="s">
        <v>27</v>
      </c>
      <c r="C103" s="49">
        <v>474</v>
      </c>
      <c r="D103" s="50">
        <v>17045741</v>
      </c>
      <c r="E103" s="49">
        <v>1523</v>
      </c>
      <c r="F103" s="50">
        <v>96014769</v>
      </c>
      <c r="G103" s="49">
        <v>2338</v>
      </c>
      <c r="H103" s="50">
        <v>149193710</v>
      </c>
      <c r="I103" s="49">
        <v>1615</v>
      </c>
      <c r="J103" s="50">
        <v>82231311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88CE-945E-444E-A9C3-3AE6FE2C5486}">
  <dimension ref="A3:F87"/>
  <sheetViews>
    <sheetView topLeftCell="A93" workbookViewId="0">
      <selection activeCell="B82" sqref="A76:B87"/>
    </sheetView>
  </sheetViews>
  <sheetFormatPr defaultRowHeight="15"/>
  <cols>
    <col min="1" max="1" width="19" bestFit="1" customWidth="1"/>
    <col min="2" max="6" width="19.28515625" bestFit="1" customWidth="1"/>
    <col min="7" max="11" width="6.28515625" bestFit="1" customWidth="1"/>
    <col min="12" max="12" width="11.42578125" bestFit="1" customWidth="1"/>
  </cols>
  <sheetData>
    <row r="3" spans="1:2">
      <c r="A3" s="4" t="s">
        <v>0</v>
      </c>
      <c r="B3" t="s">
        <v>73</v>
      </c>
    </row>
    <row r="4" spans="1:2">
      <c r="A4">
        <v>2015</v>
      </c>
      <c r="B4" s="3">
        <v>33687210</v>
      </c>
    </row>
    <row r="5" spans="1:2">
      <c r="A5">
        <v>2016</v>
      </c>
      <c r="B5" s="3">
        <v>21380293</v>
      </c>
    </row>
    <row r="6" spans="1:2">
      <c r="A6">
        <v>2017</v>
      </c>
      <c r="B6" s="3">
        <v>29982491</v>
      </c>
    </row>
    <row r="7" spans="1:2">
      <c r="A7">
        <v>2018</v>
      </c>
      <c r="B7" s="3">
        <v>28848190</v>
      </c>
    </row>
    <row r="8" spans="1:2">
      <c r="A8">
        <v>2019</v>
      </c>
      <c r="B8" s="3">
        <v>28009015</v>
      </c>
    </row>
    <row r="9" spans="1:2">
      <c r="A9">
        <v>2020</v>
      </c>
      <c r="B9" s="3">
        <v>26846112</v>
      </c>
    </row>
    <row r="10" spans="1:2">
      <c r="A10">
        <v>2021</v>
      </c>
      <c r="B10" s="3">
        <v>24563472</v>
      </c>
    </row>
    <row r="11" spans="1:2">
      <c r="A11">
        <v>2022</v>
      </c>
      <c r="B11" s="3">
        <v>28138507</v>
      </c>
    </row>
    <row r="12" spans="1:2">
      <c r="A12">
        <v>2023</v>
      </c>
      <c r="B12" s="3">
        <v>26784146</v>
      </c>
    </row>
    <row r="13" spans="1:2">
      <c r="A13">
        <v>2024</v>
      </c>
      <c r="B13" s="3">
        <v>31252794</v>
      </c>
    </row>
    <row r="14" spans="1:2">
      <c r="A14" t="s">
        <v>70</v>
      </c>
      <c r="B14" s="3">
        <v>279492230</v>
      </c>
    </row>
    <row r="21" spans="1:6">
      <c r="A21" s="4" t="s">
        <v>73</v>
      </c>
      <c r="B21" s="4" t="s">
        <v>5</v>
      </c>
    </row>
    <row r="22" spans="1:6">
      <c r="A22" s="4" t="s">
        <v>0</v>
      </c>
      <c r="B22" t="s">
        <v>33</v>
      </c>
      <c r="C22" t="s">
        <v>24</v>
      </c>
      <c r="D22" t="s">
        <v>28</v>
      </c>
      <c r="E22" t="s">
        <v>20</v>
      </c>
      <c r="F22" t="s">
        <v>70</v>
      </c>
    </row>
    <row r="23" spans="1:6">
      <c r="A23">
        <v>2015</v>
      </c>
      <c r="B23" s="3">
        <v>10125806</v>
      </c>
      <c r="C23" s="3">
        <v>6620489</v>
      </c>
      <c r="D23" s="3">
        <v>9712598</v>
      </c>
      <c r="E23" s="3">
        <v>7228317</v>
      </c>
      <c r="F23" s="3">
        <v>33687210</v>
      </c>
    </row>
    <row r="24" spans="1:6">
      <c r="A24">
        <v>2016</v>
      </c>
      <c r="B24" s="3">
        <v>4815206</v>
      </c>
      <c r="C24" s="3">
        <v>7126587</v>
      </c>
      <c r="D24" s="3">
        <v>5502975</v>
      </c>
      <c r="E24" s="3">
        <v>3935525</v>
      </c>
      <c r="F24" s="3">
        <v>21380293</v>
      </c>
    </row>
    <row r="25" spans="1:6">
      <c r="A25">
        <v>2017</v>
      </c>
      <c r="B25" s="3">
        <v>6101787</v>
      </c>
      <c r="C25" s="3">
        <v>8770123</v>
      </c>
      <c r="D25" s="3">
        <v>8240302</v>
      </c>
      <c r="E25" s="3">
        <v>6870279</v>
      </c>
      <c r="F25" s="3">
        <v>29982491</v>
      </c>
    </row>
    <row r="26" spans="1:6">
      <c r="A26">
        <v>2018</v>
      </c>
      <c r="B26" s="3">
        <v>5291554</v>
      </c>
      <c r="C26" s="3">
        <v>8780038</v>
      </c>
      <c r="D26" s="3">
        <v>6468781</v>
      </c>
      <c r="E26" s="3">
        <v>8307817</v>
      </c>
      <c r="F26" s="3">
        <v>28848190</v>
      </c>
    </row>
    <row r="27" spans="1:6">
      <c r="A27">
        <v>2019</v>
      </c>
      <c r="B27" s="3">
        <v>6467120</v>
      </c>
      <c r="C27" s="3">
        <v>8239745</v>
      </c>
      <c r="D27" s="3">
        <v>5723547</v>
      </c>
      <c r="E27" s="3">
        <v>7578603</v>
      </c>
      <c r="F27" s="3">
        <v>28009015</v>
      </c>
    </row>
    <row r="28" spans="1:6">
      <c r="A28">
        <v>2020</v>
      </c>
      <c r="B28" s="3">
        <v>8197239</v>
      </c>
      <c r="C28" s="3">
        <v>6636990</v>
      </c>
      <c r="D28" s="3">
        <v>5858077</v>
      </c>
      <c r="E28" s="3">
        <v>6153806</v>
      </c>
      <c r="F28" s="3">
        <v>26846112</v>
      </c>
    </row>
    <row r="29" spans="1:6">
      <c r="A29">
        <v>2021</v>
      </c>
      <c r="B29" s="3">
        <v>7260594</v>
      </c>
      <c r="C29" s="3">
        <v>5225687</v>
      </c>
      <c r="D29" s="3">
        <v>4681258</v>
      </c>
      <c r="E29" s="3">
        <v>7395933</v>
      </c>
      <c r="F29" s="3">
        <v>24563472</v>
      </c>
    </row>
    <row r="30" spans="1:6">
      <c r="A30">
        <v>2022</v>
      </c>
      <c r="B30" s="3">
        <v>7338013</v>
      </c>
      <c r="C30" s="3">
        <v>6509163</v>
      </c>
      <c r="D30" s="3">
        <v>8415170</v>
      </c>
      <c r="E30" s="3">
        <v>5876161</v>
      </c>
      <c r="F30" s="3">
        <v>28138507</v>
      </c>
    </row>
    <row r="31" spans="1:6">
      <c r="A31">
        <v>2023</v>
      </c>
      <c r="B31" s="3">
        <v>6755144</v>
      </c>
      <c r="C31" s="3">
        <v>7955751</v>
      </c>
      <c r="D31" s="3">
        <v>6513775</v>
      </c>
      <c r="E31" s="3">
        <v>5559476</v>
      </c>
      <c r="F31" s="3">
        <v>26784146</v>
      </c>
    </row>
    <row r="32" spans="1:6">
      <c r="A32">
        <v>2024</v>
      </c>
      <c r="B32" s="3">
        <v>4774353</v>
      </c>
      <c r="C32" s="3">
        <v>10301147</v>
      </c>
      <c r="D32" s="3">
        <v>8564336</v>
      </c>
      <c r="E32" s="3">
        <v>7612958</v>
      </c>
      <c r="F32" s="3">
        <v>31252794</v>
      </c>
    </row>
    <row r="33" spans="1:6">
      <c r="A33" t="s">
        <v>70</v>
      </c>
      <c r="B33" s="3">
        <v>67126816</v>
      </c>
      <c r="C33" s="3">
        <v>76165720</v>
      </c>
      <c r="D33" s="3">
        <v>69680819</v>
      </c>
      <c r="E33" s="3">
        <v>66518875</v>
      </c>
      <c r="F33" s="3">
        <v>279492230</v>
      </c>
    </row>
    <row r="38" spans="1:6">
      <c r="A38" s="4" t="s">
        <v>71</v>
      </c>
      <c r="B38" s="4" t="s">
        <v>5</v>
      </c>
    </row>
    <row r="39" spans="1:6">
      <c r="A39" s="4" t="s">
        <v>0</v>
      </c>
      <c r="B39" t="s">
        <v>33</v>
      </c>
      <c r="C39" t="s">
        <v>24</v>
      </c>
      <c r="D39" t="s">
        <v>28</v>
      </c>
      <c r="E39" t="s">
        <v>20</v>
      </c>
      <c r="F39" t="s">
        <v>70</v>
      </c>
    </row>
    <row r="40" spans="1:6">
      <c r="A40">
        <v>2015</v>
      </c>
      <c r="B40" s="3">
        <v>1512165598</v>
      </c>
      <c r="C40" s="3">
        <v>1090740732</v>
      </c>
      <c r="D40" s="3">
        <v>1618277082</v>
      </c>
      <c r="E40" s="3">
        <v>1531753731</v>
      </c>
      <c r="F40" s="3">
        <v>5752937143</v>
      </c>
    </row>
    <row r="41" spans="1:6">
      <c r="A41">
        <v>2016</v>
      </c>
      <c r="B41" s="3">
        <v>971679137</v>
      </c>
      <c r="C41" s="3">
        <v>1174316212</v>
      </c>
      <c r="D41" s="3">
        <v>1123503599</v>
      </c>
      <c r="E41" s="3">
        <v>692162755</v>
      </c>
      <c r="F41" s="3">
        <v>3961661703</v>
      </c>
    </row>
    <row r="42" spans="1:6">
      <c r="A42">
        <v>2017</v>
      </c>
      <c r="B42" s="3">
        <v>1129143874</v>
      </c>
      <c r="C42" s="3">
        <v>1244704321</v>
      </c>
      <c r="D42" s="3">
        <v>1541391857</v>
      </c>
      <c r="E42" s="3">
        <v>1475800448</v>
      </c>
      <c r="F42" s="3">
        <v>5391040500</v>
      </c>
    </row>
    <row r="43" spans="1:6">
      <c r="A43">
        <v>2018</v>
      </c>
      <c r="B43" s="3">
        <v>901596886</v>
      </c>
      <c r="C43" s="3">
        <v>1258767077</v>
      </c>
      <c r="D43" s="3">
        <v>796908749</v>
      </c>
      <c r="E43" s="3">
        <v>1354046554</v>
      </c>
      <c r="F43" s="3">
        <v>4311319266</v>
      </c>
    </row>
    <row r="44" spans="1:6">
      <c r="A44">
        <v>2019</v>
      </c>
      <c r="B44" s="3">
        <v>1140756993</v>
      </c>
      <c r="C44" s="3">
        <v>1294939483</v>
      </c>
      <c r="D44" s="3">
        <v>1130377865</v>
      </c>
      <c r="E44" s="3">
        <v>1493419028</v>
      </c>
      <c r="F44" s="3">
        <v>5059493369</v>
      </c>
    </row>
    <row r="45" spans="1:6">
      <c r="A45">
        <v>2020</v>
      </c>
      <c r="B45" s="3">
        <v>1526274771</v>
      </c>
      <c r="C45" s="3">
        <v>1061918550</v>
      </c>
      <c r="D45" s="3">
        <v>981601630</v>
      </c>
      <c r="E45" s="3">
        <v>1046703772</v>
      </c>
      <c r="F45" s="3">
        <v>4616498723</v>
      </c>
    </row>
    <row r="46" spans="1:6">
      <c r="A46">
        <v>2021</v>
      </c>
      <c r="B46" s="3">
        <v>1170748420</v>
      </c>
      <c r="C46" s="3">
        <v>1144375528</v>
      </c>
      <c r="D46" s="3">
        <v>1000611454</v>
      </c>
      <c r="E46" s="3">
        <v>1216006056</v>
      </c>
      <c r="F46" s="3">
        <v>4531741458</v>
      </c>
    </row>
    <row r="47" spans="1:6">
      <c r="A47">
        <v>2022</v>
      </c>
      <c r="B47" s="3">
        <v>1173699787</v>
      </c>
      <c r="C47" s="3">
        <v>1169399064</v>
      </c>
      <c r="D47" s="3">
        <v>1408320318</v>
      </c>
      <c r="E47" s="3">
        <v>802059818</v>
      </c>
      <c r="F47" s="3">
        <v>4553478987</v>
      </c>
    </row>
    <row r="48" spans="1:6">
      <c r="A48">
        <v>2023</v>
      </c>
      <c r="B48" s="3">
        <v>1205139555</v>
      </c>
      <c r="C48" s="3">
        <v>1419647397</v>
      </c>
      <c r="D48" s="3">
        <v>967774429</v>
      </c>
      <c r="E48" s="3">
        <v>793745305</v>
      </c>
      <c r="F48" s="3">
        <v>4386306686</v>
      </c>
    </row>
    <row r="49" spans="1:6">
      <c r="A49">
        <v>2024</v>
      </c>
      <c r="B49" s="3">
        <v>1012966846</v>
      </c>
      <c r="C49" s="3">
        <v>1820154415</v>
      </c>
      <c r="D49" s="3">
        <v>1104717001</v>
      </c>
      <c r="E49" s="3">
        <v>1187356373</v>
      </c>
      <c r="F49" s="3">
        <v>5125194635</v>
      </c>
    </row>
    <row r="50" spans="1:6">
      <c r="A50" t="s">
        <v>70</v>
      </c>
      <c r="B50" s="3">
        <v>11744171867</v>
      </c>
      <c r="C50" s="3">
        <v>12678962779</v>
      </c>
      <c r="D50" s="3">
        <v>11673483984</v>
      </c>
      <c r="E50" s="3">
        <v>11593053840</v>
      </c>
      <c r="F50" s="3">
        <v>47689672470</v>
      </c>
    </row>
    <row r="59" spans="1:6">
      <c r="A59" s="4" t="s">
        <v>3</v>
      </c>
      <c r="B59" t="s">
        <v>92</v>
      </c>
    </row>
    <row r="60" spans="1:6">
      <c r="A60" t="s">
        <v>39</v>
      </c>
      <c r="B60" s="5">
        <v>21894</v>
      </c>
    </row>
    <row r="61" spans="1:6">
      <c r="A61" t="s">
        <v>27</v>
      </c>
      <c r="B61" s="5">
        <v>17862</v>
      </c>
    </row>
    <row r="62" spans="1:6">
      <c r="A62" t="s">
        <v>41</v>
      </c>
      <c r="B62" s="5">
        <v>20571</v>
      </c>
    </row>
    <row r="63" spans="1:6">
      <c r="A63" t="s">
        <v>22</v>
      </c>
      <c r="B63" s="5">
        <v>21558</v>
      </c>
    </row>
    <row r="64" spans="1:6">
      <c r="A64" t="s">
        <v>30</v>
      </c>
      <c r="B64" s="5">
        <v>19914</v>
      </c>
    </row>
    <row r="65" spans="1:2">
      <c r="A65" t="s">
        <v>52</v>
      </c>
      <c r="B65" s="5">
        <v>16215</v>
      </c>
    </row>
    <row r="66" spans="1:2">
      <c r="A66" t="s">
        <v>18</v>
      </c>
      <c r="B66" s="5">
        <v>19361</v>
      </c>
    </row>
    <row r="67" spans="1:2">
      <c r="A67" t="s">
        <v>42</v>
      </c>
      <c r="B67" s="5">
        <v>24503</v>
      </c>
    </row>
    <row r="68" spans="1:2">
      <c r="A68" t="s">
        <v>32</v>
      </c>
      <c r="B68" s="5">
        <v>21406</v>
      </c>
    </row>
    <row r="69" spans="1:2">
      <c r="A69" t="s">
        <v>36</v>
      </c>
      <c r="B69" s="5">
        <v>16946</v>
      </c>
    </row>
    <row r="70" spans="1:2">
      <c r="A70" t="s">
        <v>70</v>
      </c>
      <c r="B70" s="5">
        <v>200230</v>
      </c>
    </row>
    <row r="76" spans="1:2">
      <c r="A76" s="4" t="s">
        <v>3</v>
      </c>
      <c r="B76" t="s">
        <v>73</v>
      </c>
    </row>
    <row r="77" spans="1:2">
      <c r="A77" t="s">
        <v>39</v>
      </c>
      <c r="B77" s="3">
        <v>34360655</v>
      </c>
    </row>
    <row r="78" spans="1:2">
      <c r="A78" t="s">
        <v>27</v>
      </c>
      <c r="B78" s="3">
        <v>23986122</v>
      </c>
    </row>
    <row r="79" spans="1:2">
      <c r="A79" t="s">
        <v>41</v>
      </c>
      <c r="B79" s="3">
        <v>30408487</v>
      </c>
    </row>
    <row r="80" spans="1:2">
      <c r="A80" t="s">
        <v>22</v>
      </c>
      <c r="B80" s="3">
        <v>30402994</v>
      </c>
    </row>
    <row r="81" spans="1:2">
      <c r="A81" t="s">
        <v>30</v>
      </c>
      <c r="B81" s="3">
        <v>27287325</v>
      </c>
    </row>
    <row r="82" spans="1:2">
      <c r="A82" t="s">
        <v>52</v>
      </c>
      <c r="B82" s="3">
        <v>20669058</v>
      </c>
    </row>
    <row r="83" spans="1:2">
      <c r="A83" t="s">
        <v>18</v>
      </c>
      <c r="B83" s="3">
        <v>27423094</v>
      </c>
    </row>
    <row r="84" spans="1:2">
      <c r="A84" t="s">
        <v>42</v>
      </c>
      <c r="B84" s="3">
        <v>29004984</v>
      </c>
    </row>
    <row r="85" spans="1:2">
      <c r="A85" t="s">
        <v>32</v>
      </c>
      <c r="B85" s="3">
        <v>30145846</v>
      </c>
    </row>
    <row r="86" spans="1:2">
      <c r="A86" t="s">
        <v>36</v>
      </c>
      <c r="B86" s="3">
        <v>25803665</v>
      </c>
    </row>
    <row r="87" spans="1:2">
      <c r="A87" t="s">
        <v>70</v>
      </c>
      <c r="B87" s="3">
        <v>279492230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2026-05-20T08:14:57Z</dcterms:created>
  <dcterms:modified xsi:type="dcterms:W3CDTF">2026-05-23T14:00:43Z</dcterms:modified>
  <cp:category/>
  <cp:contentStatus/>
</cp:coreProperties>
</file>